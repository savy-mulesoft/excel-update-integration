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>
    <mc:Choice Requires="x15">
      <x15ac:absPath xmlns:x15ac="http://schemas.microsoft.com/office/spreadsheetml/2010/11/ac" url="S:\Year 2025\Release 2.5.11\"/>
    </mc:Choice>
  </mc:AlternateContent>
  <xr:revisionPtr revIDLastSave="0" documentId="13_ncr:1_{2CD6E7E0-6D45-40C9-BFCD-21F76B90F3C2}" xr6:coauthVersionLast="47" xr6:coauthVersionMax="47" xr10:uidLastSave="{00000000-0000-0000-0000-000000000000}"/>
  <bookViews>
    <workbookView xWindow="22932" yWindow="-108" windowWidth="23256" windowHeight="12456" activeTab="3" xr2:uid="{00000000-000D-0000-FFFF-FFFF00000000}"/>
  </bookViews>
  <sheets>
    <sheet name="Inputs" sheetId="13" r:id="rId1"/>
    <sheet name="Departing" sheetId="9" r:id="rId2"/>
    <sheet name="Receiving" sheetId="7" r:id="rId3"/>
    <sheet name="Lookups" sheetId="10" r:id="rId4"/>
  </sheets>
  <definedNames>
    <definedName name="of_Receving_FAs">Inputs!$HD$66</definedName>
    <definedName name="_xlnm.Print_Area" localSheetId="1">Departing!$B$1:$J$40</definedName>
    <definedName name="_xlnm.Print_Area" localSheetId="0">Inputs!$B$1:$F$60</definedName>
    <definedName name="_xlnm.Print_Area" localSheetId="2">Receiving!$B$1:$S$242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10" l="1"/>
  <c r="P14" i="10"/>
  <c r="P13" i="10"/>
  <c r="P12" i="10"/>
  <c r="P11" i="10"/>
  <c r="P10" i="10"/>
  <c r="P9" i="10"/>
  <c r="P8" i="10"/>
  <c r="P7" i="10"/>
  <c r="N15" i="10"/>
  <c r="N14" i="10"/>
  <c r="N13" i="10"/>
  <c r="N12" i="10"/>
  <c r="N11" i="10"/>
  <c r="N10" i="10"/>
  <c r="N9" i="10"/>
  <c r="N8" i="10"/>
  <c r="N7" i="10"/>
  <c r="L7" i="10"/>
  <c r="L8" i="10"/>
  <c r="L9" i="10"/>
  <c r="L10" i="10"/>
  <c r="L11" i="10"/>
  <c r="L12" i="10"/>
  <c r="L13" i="10"/>
  <c r="L14" i="10"/>
  <c r="L15" i="10"/>
  <c r="R8" i="10"/>
  <c r="S8" i="10"/>
  <c r="S9" i="10"/>
  <c r="R9" i="10"/>
  <c r="R10" i="10"/>
  <c r="S10" i="10"/>
  <c r="S11" i="10"/>
  <c r="R11" i="10"/>
  <c r="R12" i="10"/>
  <c r="S12" i="10"/>
  <c r="S13" i="10"/>
  <c r="R13" i="10"/>
  <c r="S14" i="10"/>
  <c r="R14" i="10"/>
  <c r="S15" i="10"/>
  <c r="R15" i="10"/>
  <c r="S16" i="10"/>
  <c r="R16" i="10"/>
  <c r="S17" i="10"/>
  <c r="R17" i="10"/>
  <c r="S18" i="10"/>
  <c r="R18" i="10"/>
  <c r="S19" i="10"/>
  <c r="R19" i="10"/>
  <c r="S20" i="10"/>
  <c r="R20" i="10"/>
  <c r="S21" i="10"/>
  <c r="R21" i="10"/>
  <c r="S22" i="10"/>
  <c r="R22" i="10"/>
  <c r="R23" i="10"/>
  <c r="S23" i="10"/>
  <c r="S24" i="10"/>
  <c r="R24" i="10"/>
  <c r="R25" i="10"/>
  <c r="S25" i="10"/>
  <c r="E10" i="9"/>
  <c r="E8" i="9"/>
  <c r="K8" i="7" l="1"/>
  <c r="L14" i="7" l="1"/>
  <c r="F33" i="10" l="1"/>
  <c r="E45" i="10" l="1"/>
  <c r="E46" i="10"/>
  <c r="E47" i="10"/>
  <c r="E48" i="10"/>
  <c r="E49" i="10"/>
  <c r="E50" i="10"/>
  <c r="E51" i="10"/>
  <c r="E52" i="10"/>
  <c r="E53" i="10"/>
  <c r="E54" i="10"/>
  <c r="E55" i="10"/>
  <c r="F45" i="10"/>
  <c r="K111" i="7"/>
  <c r="K112" i="7" s="1"/>
  <c r="D33" i="10" l="1"/>
  <c r="E39" i="10"/>
  <c r="C45" i="10" l="1"/>
  <c r="C49" i="10"/>
  <c r="C53" i="10"/>
  <c r="C46" i="10"/>
  <c r="C50" i="10"/>
  <c r="C54" i="10"/>
  <c r="C47" i="10"/>
  <c r="C51" i="10"/>
  <c r="C55" i="10"/>
  <c r="C48" i="10"/>
  <c r="C52" i="10"/>
  <c r="D45" i="10"/>
  <c r="Z85" i="10"/>
  <c r="L125" i="7"/>
  <c r="L107" i="7"/>
  <c r="L72" i="7"/>
  <c r="K129" i="7"/>
  <c r="K130" i="7" s="1"/>
  <c r="Z95" i="10" s="1"/>
  <c r="P189" i="10"/>
  <c r="N189" i="10"/>
  <c r="L189" i="10"/>
  <c r="K193" i="10" s="1"/>
  <c r="J189" i="10"/>
  <c r="I194" i="10" s="1"/>
  <c r="H189" i="10"/>
  <c r="G193" i="10" s="1"/>
  <c r="D189" i="10"/>
  <c r="C192" i="10" s="1"/>
  <c r="F189" i="10"/>
  <c r="E194" i="10" s="1"/>
  <c r="P163" i="10"/>
  <c r="O170" i="10" s="1"/>
  <c r="N163" i="10"/>
  <c r="M168" i="10" s="1"/>
  <c r="L163" i="10"/>
  <c r="K167" i="10" s="1"/>
  <c r="J163" i="10"/>
  <c r="I168" i="10" s="1"/>
  <c r="H163" i="10"/>
  <c r="F163" i="10"/>
  <c r="E172" i="10" s="1"/>
  <c r="D163" i="10"/>
  <c r="D129" i="7"/>
  <c r="D130" i="7" s="1"/>
  <c r="V95" i="10" s="1"/>
  <c r="D111" i="7"/>
  <c r="P142" i="7"/>
  <c r="O142" i="7"/>
  <c r="N142" i="7"/>
  <c r="M142" i="7"/>
  <c r="Q136" i="7"/>
  <c r="P124" i="7"/>
  <c r="O124" i="7"/>
  <c r="N124" i="7"/>
  <c r="M124" i="7"/>
  <c r="Q118" i="7"/>
  <c r="E61" i="13"/>
  <c r="N111" i="10"/>
  <c r="M115" i="10" s="1"/>
  <c r="P111" i="10"/>
  <c r="O120" i="10" s="1"/>
  <c r="L111" i="10"/>
  <c r="J111" i="10"/>
  <c r="I114" i="10" s="1"/>
  <c r="H111" i="10"/>
  <c r="G114" i="10" s="1"/>
  <c r="F111" i="10"/>
  <c r="E115" i="10" s="1"/>
  <c r="D111" i="10"/>
  <c r="C114" i="10" s="1"/>
  <c r="P137" i="10"/>
  <c r="O144" i="10" s="1"/>
  <c r="N137" i="10"/>
  <c r="M147" i="10" s="1"/>
  <c r="L137" i="10"/>
  <c r="J137" i="10"/>
  <c r="H137" i="10"/>
  <c r="F137" i="10"/>
  <c r="D137" i="10"/>
  <c r="C140" i="10" s="1"/>
  <c r="K12" i="7"/>
  <c r="K114" i="10" l="1"/>
  <c r="K121" i="10"/>
  <c r="C180" i="10"/>
  <c r="O150" i="10"/>
  <c r="C173" i="10"/>
  <c r="O180" i="10"/>
  <c r="M114" i="10"/>
  <c r="E129" i="10"/>
  <c r="M153" i="10"/>
  <c r="O143" i="10"/>
  <c r="M146" i="10"/>
  <c r="O158" i="10"/>
  <c r="V84" i="10"/>
  <c r="E128" i="10"/>
  <c r="E121" i="10"/>
  <c r="E183" i="10"/>
  <c r="E168" i="10"/>
  <c r="G178" i="10"/>
  <c r="G171" i="10"/>
  <c r="I183" i="10"/>
  <c r="I175" i="10"/>
  <c r="O114" i="10"/>
  <c r="O126" i="10"/>
  <c r="O118" i="10"/>
  <c r="M140" i="10"/>
  <c r="M152" i="10"/>
  <c r="M145" i="10"/>
  <c r="O157" i="10"/>
  <c r="O149" i="10"/>
  <c r="O142" i="10"/>
  <c r="O179" i="10"/>
  <c r="O119" i="10"/>
  <c r="E127" i="10"/>
  <c r="E120" i="10"/>
  <c r="E114" i="10"/>
  <c r="O133" i="10"/>
  <c r="O125" i="10"/>
  <c r="O117" i="10"/>
  <c r="M159" i="10"/>
  <c r="M151" i="10"/>
  <c r="M144" i="10"/>
  <c r="O156" i="10"/>
  <c r="O148" i="10"/>
  <c r="O141" i="10"/>
  <c r="O176" i="10"/>
  <c r="E126" i="10"/>
  <c r="E119" i="10"/>
  <c r="E179" i="10"/>
  <c r="G184" i="10"/>
  <c r="G176" i="10"/>
  <c r="G169" i="10"/>
  <c r="I181" i="10"/>
  <c r="O132" i="10"/>
  <c r="O124" i="10"/>
  <c r="O116" i="10"/>
  <c r="M158" i="10"/>
  <c r="M150" i="10"/>
  <c r="M143" i="10"/>
  <c r="O155" i="10"/>
  <c r="M166" i="10"/>
  <c r="O175" i="10"/>
  <c r="O127" i="10"/>
  <c r="E133" i="10"/>
  <c r="E125" i="10"/>
  <c r="E118" i="10"/>
  <c r="K182" i="10"/>
  <c r="O131" i="10"/>
  <c r="O123" i="10"/>
  <c r="O115" i="10"/>
  <c r="M157" i="10"/>
  <c r="M149" i="10"/>
  <c r="M142" i="10"/>
  <c r="O154" i="10"/>
  <c r="O147" i="10"/>
  <c r="M178" i="10"/>
  <c r="O173" i="10"/>
  <c r="E132" i="10"/>
  <c r="E124" i="10"/>
  <c r="E117" i="10"/>
  <c r="E175" i="10"/>
  <c r="G182" i="10"/>
  <c r="G174" i="10"/>
  <c r="G167" i="10"/>
  <c r="I179" i="10"/>
  <c r="I172" i="10"/>
  <c r="K178" i="10"/>
  <c r="O130" i="10"/>
  <c r="O122" i="10"/>
  <c r="M156" i="10"/>
  <c r="M148" i="10"/>
  <c r="M141" i="10"/>
  <c r="O153" i="10"/>
  <c r="O146" i="10"/>
  <c r="M171" i="10"/>
  <c r="O172" i="10"/>
  <c r="E131" i="10"/>
  <c r="E123" i="10"/>
  <c r="E116" i="10"/>
  <c r="I166" i="10"/>
  <c r="K174" i="10"/>
  <c r="O129" i="10"/>
  <c r="O121" i="10"/>
  <c r="M155" i="10"/>
  <c r="O140" i="10"/>
  <c r="O152" i="10"/>
  <c r="O145" i="10"/>
  <c r="O184" i="10"/>
  <c r="O169" i="10"/>
  <c r="E130" i="10"/>
  <c r="E122" i="10"/>
  <c r="G180" i="10"/>
  <c r="G173" i="10"/>
  <c r="I185" i="10"/>
  <c r="I177" i="10"/>
  <c r="I170" i="10"/>
  <c r="K171" i="10"/>
  <c r="O128" i="10"/>
  <c r="M154" i="10"/>
  <c r="O159" i="10"/>
  <c r="O151" i="10"/>
  <c r="O183" i="10"/>
  <c r="O168" i="10"/>
  <c r="C167" i="10"/>
  <c r="C171" i="10"/>
  <c r="C174" i="10"/>
  <c r="C178" i="10"/>
  <c r="C182" i="10"/>
  <c r="C172" i="10"/>
  <c r="C179" i="10"/>
  <c r="C183" i="10"/>
  <c r="C166" i="10"/>
  <c r="C168" i="10"/>
  <c r="C175" i="10"/>
  <c r="C177" i="10"/>
  <c r="M183" i="10"/>
  <c r="M175" i="10"/>
  <c r="K166" i="10"/>
  <c r="K168" i="10"/>
  <c r="K170" i="10"/>
  <c r="K172" i="10"/>
  <c r="K175" i="10"/>
  <c r="K177" i="10"/>
  <c r="K179" i="10"/>
  <c r="K181" i="10"/>
  <c r="K183" i="10"/>
  <c r="K185" i="10"/>
  <c r="C170" i="10"/>
  <c r="E167" i="10"/>
  <c r="E169" i="10"/>
  <c r="E171" i="10"/>
  <c r="E173" i="10"/>
  <c r="E174" i="10"/>
  <c r="E176" i="10"/>
  <c r="E178" i="10"/>
  <c r="E180" i="10"/>
  <c r="E182" i="10"/>
  <c r="E184" i="10"/>
  <c r="E166" i="10"/>
  <c r="M169" i="10"/>
  <c r="M173" i="10"/>
  <c r="M176" i="10"/>
  <c r="M180" i="10"/>
  <c r="M184" i="10"/>
  <c r="M170" i="10"/>
  <c r="M177" i="10"/>
  <c r="M181" i="10"/>
  <c r="M185" i="10"/>
  <c r="C184" i="10"/>
  <c r="C176" i="10"/>
  <c r="C169" i="10"/>
  <c r="K184" i="10"/>
  <c r="K180" i="10"/>
  <c r="K176" i="10"/>
  <c r="K173" i="10"/>
  <c r="K169" i="10"/>
  <c r="M182" i="10"/>
  <c r="M174" i="10"/>
  <c r="M167" i="10"/>
  <c r="C185" i="10"/>
  <c r="C181" i="10"/>
  <c r="E185" i="10"/>
  <c r="E181" i="10"/>
  <c r="E177" i="10"/>
  <c r="E170" i="10"/>
  <c r="M179" i="10"/>
  <c r="M172" i="10"/>
  <c r="G185" i="10"/>
  <c r="G183" i="10"/>
  <c r="G181" i="10"/>
  <c r="G179" i="10"/>
  <c r="G177" i="10"/>
  <c r="G175" i="10"/>
  <c r="G172" i="10"/>
  <c r="G170" i="10"/>
  <c r="G168" i="10"/>
  <c r="I184" i="10"/>
  <c r="I182" i="10"/>
  <c r="I180" i="10"/>
  <c r="I178" i="10"/>
  <c r="I176" i="10"/>
  <c r="I174" i="10"/>
  <c r="I173" i="10"/>
  <c r="I171" i="10"/>
  <c r="I169" i="10"/>
  <c r="I167" i="10"/>
  <c r="O166" i="10"/>
  <c r="O182" i="10"/>
  <c r="O178" i="10"/>
  <c r="O174" i="10"/>
  <c r="O171" i="10"/>
  <c r="O167" i="10"/>
  <c r="G166" i="10"/>
  <c r="O185" i="10"/>
  <c r="O181" i="10"/>
  <c r="O177" i="10"/>
  <c r="E192" i="10"/>
  <c r="I192" i="10"/>
  <c r="M211" i="10"/>
  <c r="M209" i="10"/>
  <c r="M207" i="10"/>
  <c r="M205" i="10"/>
  <c r="M203" i="10"/>
  <c r="M201" i="10"/>
  <c r="M198" i="10"/>
  <c r="M196" i="10"/>
  <c r="M194" i="10"/>
  <c r="O210" i="10"/>
  <c r="O208" i="10"/>
  <c r="O206" i="10"/>
  <c r="O204" i="10"/>
  <c r="O202" i="10"/>
  <c r="O200" i="10"/>
  <c r="O199" i="10"/>
  <c r="O197" i="10"/>
  <c r="O195" i="10"/>
  <c r="O193" i="10"/>
  <c r="C211" i="10"/>
  <c r="C209" i="10"/>
  <c r="C207" i="10"/>
  <c r="C205" i="10"/>
  <c r="C203" i="10"/>
  <c r="C201" i="10"/>
  <c r="C198" i="10"/>
  <c r="C196" i="10"/>
  <c r="C194" i="10"/>
  <c r="E210" i="10"/>
  <c r="E208" i="10"/>
  <c r="E206" i="10"/>
  <c r="E204" i="10"/>
  <c r="E202" i="10"/>
  <c r="E200" i="10"/>
  <c r="E199" i="10"/>
  <c r="E197" i="10"/>
  <c r="E195" i="10"/>
  <c r="E193" i="10"/>
  <c r="G211" i="10"/>
  <c r="G209" i="10"/>
  <c r="G207" i="10"/>
  <c r="G205" i="10"/>
  <c r="G203" i="10"/>
  <c r="G201" i="10"/>
  <c r="G198" i="10"/>
  <c r="G196" i="10"/>
  <c r="G194" i="10"/>
  <c r="I210" i="10"/>
  <c r="I208" i="10"/>
  <c r="I206" i="10"/>
  <c r="I204" i="10"/>
  <c r="I202" i="10"/>
  <c r="I200" i="10"/>
  <c r="I199" i="10"/>
  <c r="I197" i="10"/>
  <c r="I195" i="10"/>
  <c r="I193" i="10"/>
  <c r="K211" i="10"/>
  <c r="K209" i="10"/>
  <c r="K207" i="10"/>
  <c r="K205" i="10"/>
  <c r="K203" i="10"/>
  <c r="K201" i="10"/>
  <c r="K198" i="10"/>
  <c r="K196" i="10"/>
  <c r="K194" i="10"/>
  <c r="M192" i="10"/>
  <c r="G192" i="10"/>
  <c r="K192" i="10"/>
  <c r="M210" i="10"/>
  <c r="M208" i="10"/>
  <c r="M206" i="10"/>
  <c r="M204" i="10"/>
  <c r="M202" i="10"/>
  <c r="M200" i="10"/>
  <c r="M199" i="10"/>
  <c r="M197" i="10"/>
  <c r="M195" i="10"/>
  <c r="M193" i="10"/>
  <c r="O211" i="10"/>
  <c r="O209" i="10"/>
  <c r="O207" i="10"/>
  <c r="O205" i="10"/>
  <c r="O203" i="10"/>
  <c r="O201" i="10"/>
  <c r="O198" i="10"/>
  <c r="O196" i="10"/>
  <c r="O194" i="10"/>
  <c r="C210" i="10"/>
  <c r="C208" i="10"/>
  <c r="C206" i="10"/>
  <c r="C204" i="10"/>
  <c r="C202" i="10"/>
  <c r="C200" i="10"/>
  <c r="C199" i="10"/>
  <c r="C197" i="10"/>
  <c r="C195" i="10"/>
  <c r="C193" i="10"/>
  <c r="E211" i="10"/>
  <c r="E209" i="10"/>
  <c r="E207" i="10"/>
  <c r="E205" i="10"/>
  <c r="E203" i="10"/>
  <c r="E201" i="10"/>
  <c r="E198" i="10"/>
  <c r="E196" i="10"/>
  <c r="G210" i="10"/>
  <c r="G208" i="10"/>
  <c r="G206" i="10"/>
  <c r="G204" i="10"/>
  <c r="G202" i="10"/>
  <c r="G200" i="10"/>
  <c r="G199" i="10"/>
  <c r="G197" i="10"/>
  <c r="G195" i="10"/>
  <c r="I211" i="10"/>
  <c r="I209" i="10"/>
  <c r="I207" i="10"/>
  <c r="I205" i="10"/>
  <c r="I203" i="10"/>
  <c r="I201" i="10"/>
  <c r="I198" i="10"/>
  <c r="I196" i="10"/>
  <c r="K210" i="10"/>
  <c r="K208" i="10"/>
  <c r="K206" i="10"/>
  <c r="K204" i="10"/>
  <c r="K202" i="10"/>
  <c r="K200" i="10"/>
  <c r="K199" i="10"/>
  <c r="K197" i="10"/>
  <c r="K195" i="10"/>
  <c r="O192" i="10"/>
  <c r="Z84" i="10"/>
  <c r="Z94" i="10"/>
  <c r="D112" i="7"/>
  <c r="V85" i="10" s="1"/>
  <c r="V94" i="10"/>
  <c r="D131" i="7"/>
  <c r="V96" i="10" s="1"/>
  <c r="K131" i="7"/>
  <c r="K113" i="7"/>
  <c r="Q100" i="7"/>
  <c r="W84" i="10" l="1"/>
  <c r="E111" i="7" s="1"/>
  <c r="AA95" i="10"/>
  <c r="W94" i="10"/>
  <c r="E129" i="7" s="1"/>
  <c r="W95" i="10"/>
  <c r="E130" i="7" s="1"/>
  <c r="AA85" i="10"/>
  <c r="W96" i="10"/>
  <c r="E131" i="7" s="1"/>
  <c r="D113" i="7"/>
  <c r="V86" i="10" s="1"/>
  <c r="W86" i="10" s="1"/>
  <c r="E113" i="7" s="1"/>
  <c r="AA94" i="10"/>
  <c r="W85" i="10"/>
  <c r="E112" i="7" s="1"/>
  <c r="AA84" i="10"/>
  <c r="L111" i="7" s="1"/>
  <c r="Z96" i="10"/>
  <c r="Z86" i="10"/>
  <c r="AA86" i="10" s="1"/>
  <c r="K132" i="7"/>
  <c r="D132" i="7"/>
  <c r="V97" i="10" s="1"/>
  <c r="W97" i="10" s="1"/>
  <c r="E132" i="7" s="1"/>
  <c r="K114" i="7"/>
  <c r="K93" i="7"/>
  <c r="K76" i="7"/>
  <c r="K58" i="7"/>
  <c r="K38" i="7"/>
  <c r="K18" i="7"/>
  <c r="D114" i="7" l="1"/>
  <c r="V87" i="10" s="1"/>
  <c r="W87" i="10" s="1"/>
  <c r="E114" i="7" s="1"/>
  <c r="AA96" i="10"/>
  <c r="Z97" i="10"/>
  <c r="Z87" i="10"/>
  <c r="D133" i="7"/>
  <c r="V98" i="10" s="1"/>
  <c r="K133" i="7"/>
  <c r="K115" i="7"/>
  <c r="K116" i="7" s="1"/>
  <c r="Z74" i="10"/>
  <c r="P85" i="10"/>
  <c r="N85" i="10"/>
  <c r="P59" i="10"/>
  <c r="N59" i="10"/>
  <c r="N73" i="10" l="1"/>
  <c r="N72" i="10"/>
  <c r="N71" i="10"/>
  <c r="N70" i="10"/>
  <c r="N81" i="10"/>
  <c r="N69" i="10"/>
  <c r="N80" i="10"/>
  <c r="N68" i="10"/>
  <c r="N79" i="10"/>
  <c r="N67" i="10"/>
  <c r="N78" i="10"/>
  <c r="N66" i="10"/>
  <c r="N77" i="10"/>
  <c r="N65" i="10"/>
  <c r="N76" i="10"/>
  <c r="N75" i="10"/>
  <c r="N74" i="10"/>
  <c r="N64" i="10"/>
  <c r="N63" i="10"/>
  <c r="N62" i="10"/>
  <c r="P77" i="10"/>
  <c r="P65" i="10"/>
  <c r="P76" i="10"/>
  <c r="P64" i="10"/>
  <c r="P75" i="10"/>
  <c r="P63" i="10"/>
  <c r="P74" i="10"/>
  <c r="P73" i="10"/>
  <c r="P72" i="10"/>
  <c r="P71" i="10"/>
  <c r="P70" i="10"/>
  <c r="P81" i="10"/>
  <c r="P69" i="10"/>
  <c r="P67" i="10"/>
  <c r="P66" i="10"/>
  <c r="P80" i="10"/>
  <c r="P79" i="10"/>
  <c r="P78" i="10"/>
  <c r="P68" i="10"/>
  <c r="D115" i="7"/>
  <c r="V88" i="10" s="1"/>
  <c r="W88" i="10" s="1"/>
  <c r="E115" i="7" s="1"/>
  <c r="W98" i="10"/>
  <c r="E133" i="7" s="1"/>
  <c r="M94" i="10"/>
  <c r="M101" i="10"/>
  <c r="M95" i="10"/>
  <c r="M102" i="10"/>
  <c r="M103" i="10"/>
  <c r="M90" i="10"/>
  <c r="M89" i="10"/>
  <c r="M96" i="10"/>
  <c r="M104" i="10"/>
  <c r="M105" i="10"/>
  <c r="M91" i="10"/>
  <c r="M98" i="10"/>
  <c r="M106" i="10"/>
  <c r="M92" i="10"/>
  <c r="M99" i="10"/>
  <c r="M107" i="10"/>
  <c r="M97" i="10"/>
  <c r="M93" i="10"/>
  <c r="M100" i="10"/>
  <c r="M88" i="10"/>
  <c r="O91" i="10"/>
  <c r="O98" i="10"/>
  <c r="O106" i="10"/>
  <c r="O93" i="10"/>
  <c r="O102" i="10"/>
  <c r="O92" i="10"/>
  <c r="O99" i="10"/>
  <c r="O107" i="10"/>
  <c r="O100" i="10"/>
  <c r="O94" i="10"/>
  <c r="O101" i="10"/>
  <c r="O95" i="10"/>
  <c r="O103" i="10"/>
  <c r="O89" i="10"/>
  <c r="O96" i="10"/>
  <c r="O104" i="10"/>
  <c r="O90" i="10"/>
  <c r="O97" i="10"/>
  <c r="O105" i="10"/>
  <c r="O88" i="10"/>
  <c r="O63" i="10"/>
  <c r="O70" i="10"/>
  <c r="O78" i="10"/>
  <c r="O64" i="10"/>
  <c r="O71" i="10"/>
  <c r="O79" i="10"/>
  <c r="O65" i="10"/>
  <c r="O72" i="10"/>
  <c r="O80" i="10"/>
  <c r="O66" i="10"/>
  <c r="O73" i="10"/>
  <c r="O81" i="10"/>
  <c r="O67" i="10"/>
  <c r="O74" i="10"/>
  <c r="O62" i="10"/>
  <c r="O68" i="10"/>
  <c r="O75" i="10"/>
  <c r="O69" i="10"/>
  <c r="O76" i="10"/>
  <c r="O77" i="10"/>
  <c r="M65" i="10"/>
  <c r="M73" i="10"/>
  <c r="M81" i="10"/>
  <c r="M66" i="10"/>
  <c r="M74" i="10"/>
  <c r="M62" i="10"/>
  <c r="M68" i="10"/>
  <c r="M75" i="10"/>
  <c r="M69" i="10"/>
  <c r="M76" i="10"/>
  <c r="M77" i="10"/>
  <c r="M67" i="10"/>
  <c r="M70" i="10"/>
  <c r="M78" i="10"/>
  <c r="M63" i="10"/>
  <c r="M71" i="10"/>
  <c r="M79" i="10"/>
  <c r="M64" i="10"/>
  <c r="M72" i="10"/>
  <c r="M80" i="10"/>
  <c r="AA97" i="10"/>
  <c r="AA87" i="10"/>
  <c r="Z98" i="10"/>
  <c r="K134" i="7"/>
  <c r="Z99" i="10" s="1"/>
  <c r="Z88" i="10"/>
  <c r="D134" i="7"/>
  <c r="V99" i="10" s="1"/>
  <c r="Z64" i="10"/>
  <c r="D93" i="7"/>
  <c r="D76" i="7"/>
  <c r="P33" i="10"/>
  <c r="N33" i="10"/>
  <c r="D116" i="7" l="1"/>
  <c r="V89" i="10" s="1"/>
  <c r="W89" i="10" s="1"/>
  <c r="E116" i="7" s="1"/>
  <c r="O45" i="10"/>
  <c r="O46" i="10"/>
  <c r="O47" i="10"/>
  <c r="O48" i="10"/>
  <c r="O49" i="10"/>
  <c r="O50" i="10"/>
  <c r="O51" i="10"/>
  <c r="O52" i="10"/>
  <c r="O53" i="10"/>
  <c r="O54" i="10"/>
  <c r="O55" i="10"/>
  <c r="P45" i="10"/>
  <c r="M45" i="10"/>
  <c r="M46" i="10"/>
  <c r="M47" i="10"/>
  <c r="M48" i="10"/>
  <c r="M49" i="10"/>
  <c r="M50" i="10"/>
  <c r="M51" i="10"/>
  <c r="M52" i="10"/>
  <c r="M53" i="10"/>
  <c r="M54" i="10"/>
  <c r="M55" i="10"/>
  <c r="N45" i="10"/>
  <c r="O38" i="10"/>
  <c r="O39" i="10"/>
  <c r="O40" i="10"/>
  <c r="O37" i="10"/>
  <c r="O41" i="10"/>
  <c r="O36" i="10"/>
  <c r="O42" i="10"/>
  <c r="O43" i="10"/>
  <c r="O44" i="10"/>
  <c r="M41" i="10"/>
  <c r="M36" i="10"/>
  <c r="M40" i="10"/>
  <c r="M42" i="10"/>
  <c r="M43" i="10"/>
  <c r="M37" i="10"/>
  <c r="M44" i="10"/>
  <c r="M38" i="10"/>
  <c r="M39" i="10"/>
  <c r="W99" i="10"/>
  <c r="E134" i="7" s="1"/>
  <c r="AA99" i="10"/>
  <c r="AA98" i="10"/>
  <c r="AA88" i="10"/>
  <c r="Z89" i="10"/>
  <c r="K135" i="7"/>
  <c r="D135" i="7"/>
  <c r="V100" i="10" s="1"/>
  <c r="K117" i="7"/>
  <c r="D117" i="7" l="1"/>
  <c r="V90" i="10" s="1"/>
  <c r="W90" i="10" s="1"/>
  <c r="E117" i="7" s="1"/>
  <c r="W100" i="10"/>
  <c r="E135" i="7" s="1"/>
  <c r="AA89" i="10"/>
  <c r="Z100" i="10"/>
  <c r="Z90" i="10"/>
  <c r="E142" i="10"/>
  <c r="E146" i="10"/>
  <c r="E149" i="10"/>
  <c r="E153" i="10"/>
  <c r="E157" i="10"/>
  <c r="E143" i="10"/>
  <c r="E147" i="10"/>
  <c r="E150" i="10"/>
  <c r="E154" i="10"/>
  <c r="E158" i="10"/>
  <c r="E144" i="10"/>
  <c r="E151" i="10"/>
  <c r="E155" i="10"/>
  <c r="E159" i="10"/>
  <c r="E152" i="10"/>
  <c r="E141" i="10"/>
  <c r="E156" i="10"/>
  <c r="E145" i="10"/>
  <c r="E140" i="10"/>
  <c r="E148" i="10"/>
  <c r="G117" i="10"/>
  <c r="G121" i="10"/>
  <c r="G124" i="10"/>
  <c r="G128" i="10"/>
  <c r="G132" i="10"/>
  <c r="G119" i="10"/>
  <c r="G118" i="10"/>
  <c r="G125" i="10"/>
  <c r="G129" i="10"/>
  <c r="G133" i="10"/>
  <c r="G115" i="10"/>
  <c r="G126" i="10"/>
  <c r="G122" i="10"/>
  <c r="G130" i="10"/>
  <c r="G120" i="10"/>
  <c r="G127" i="10"/>
  <c r="G116" i="10"/>
  <c r="G123" i="10"/>
  <c r="G131" i="10"/>
  <c r="M119" i="10"/>
  <c r="M122" i="10"/>
  <c r="M126" i="10"/>
  <c r="M130" i="10"/>
  <c r="M116" i="10"/>
  <c r="M120" i="10"/>
  <c r="M123" i="10"/>
  <c r="M127" i="10"/>
  <c r="M131" i="10"/>
  <c r="M133" i="10"/>
  <c r="M129" i="10"/>
  <c r="I115" i="10"/>
  <c r="I119" i="10"/>
  <c r="I122" i="10"/>
  <c r="I126" i="10"/>
  <c r="I130" i="10"/>
  <c r="M117" i="10"/>
  <c r="M124" i="10"/>
  <c r="M132" i="10"/>
  <c r="I116" i="10"/>
  <c r="I120" i="10"/>
  <c r="I123" i="10"/>
  <c r="I127" i="10"/>
  <c r="I131" i="10"/>
  <c r="M118" i="10"/>
  <c r="M125" i="10"/>
  <c r="I117" i="10"/>
  <c r="I121" i="10"/>
  <c r="I124" i="10"/>
  <c r="I128" i="10"/>
  <c r="I132" i="10"/>
  <c r="M121" i="10"/>
  <c r="M128" i="10"/>
  <c r="I129" i="10"/>
  <c r="I118" i="10"/>
  <c r="I133" i="10"/>
  <c r="I125" i="10"/>
  <c r="G144" i="10"/>
  <c r="G151" i="10"/>
  <c r="G155" i="10"/>
  <c r="G159" i="10"/>
  <c r="G141" i="10"/>
  <c r="G145" i="10"/>
  <c r="G148" i="10"/>
  <c r="G152" i="10"/>
  <c r="G156" i="10"/>
  <c r="G140" i="10"/>
  <c r="G142" i="10"/>
  <c r="G146" i="10"/>
  <c r="G149" i="10"/>
  <c r="G153" i="10"/>
  <c r="G157" i="10"/>
  <c r="G147" i="10"/>
  <c r="G158" i="10"/>
  <c r="G150" i="10"/>
  <c r="G154" i="10"/>
  <c r="G143" i="10"/>
  <c r="C117" i="10"/>
  <c r="C121" i="10"/>
  <c r="C124" i="10"/>
  <c r="C128" i="10"/>
  <c r="C132" i="10"/>
  <c r="C115" i="10"/>
  <c r="C126" i="10"/>
  <c r="C118" i="10"/>
  <c r="C125" i="10"/>
  <c r="C129" i="10"/>
  <c r="C133" i="10"/>
  <c r="C119" i="10"/>
  <c r="C130" i="10"/>
  <c r="C122" i="10"/>
  <c r="C116" i="10"/>
  <c r="C131" i="10"/>
  <c r="C123" i="10"/>
  <c r="C120" i="10"/>
  <c r="C127" i="10"/>
  <c r="K118" i="10"/>
  <c r="K125" i="10"/>
  <c r="K129" i="10"/>
  <c r="K133" i="10"/>
  <c r="K115" i="10"/>
  <c r="K119" i="10"/>
  <c r="K122" i="10"/>
  <c r="K126" i="10"/>
  <c r="K130" i="10"/>
  <c r="K128" i="10"/>
  <c r="K127" i="10"/>
  <c r="K116" i="10"/>
  <c r="K123" i="10"/>
  <c r="K131" i="10"/>
  <c r="K117" i="10"/>
  <c r="K124" i="10"/>
  <c r="K132" i="10"/>
  <c r="K120" i="10"/>
  <c r="I144" i="10"/>
  <c r="I151" i="10"/>
  <c r="I155" i="10"/>
  <c r="I159" i="10"/>
  <c r="I141" i="10"/>
  <c r="I145" i="10"/>
  <c r="I148" i="10"/>
  <c r="I152" i="10"/>
  <c r="I156" i="10"/>
  <c r="I140" i="10"/>
  <c r="I142" i="10"/>
  <c r="I146" i="10"/>
  <c r="I149" i="10"/>
  <c r="I153" i="10"/>
  <c r="I157" i="10"/>
  <c r="I147" i="10"/>
  <c r="I158" i="10"/>
  <c r="I150" i="10"/>
  <c r="I143" i="10"/>
  <c r="I154" i="10"/>
  <c r="C144" i="10"/>
  <c r="C151" i="10"/>
  <c r="C155" i="10"/>
  <c r="C159" i="10"/>
  <c r="C141" i="10"/>
  <c r="C145" i="10"/>
  <c r="C148" i="10"/>
  <c r="C152" i="10"/>
  <c r="C156" i="10"/>
  <c r="C142" i="10"/>
  <c r="C146" i="10"/>
  <c r="C149" i="10"/>
  <c r="C153" i="10"/>
  <c r="C157" i="10"/>
  <c r="C143" i="10"/>
  <c r="C158" i="10"/>
  <c r="C147" i="10"/>
  <c r="C150" i="10"/>
  <c r="C154" i="10"/>
  <c r="K142" i="10"/>
  <c r="K146" i="10"/>
  <c r="K149" i="10"/>
  <c r="K153" i="10"/>
  <c r="K157" i="10"/>
  <c r="K143" i="10"/>
  <c r="K147" i="10"/>
  <c r="K150" i="10"/>
  <c r="K154" i="10"/>
  <c r="K158" i="10"/>
  <c r="K144" i="10"/>
  <c r="K151" i="10"/>
  <c r="K155" i="10"/>
  <c r="K159" i="10"/>
  <c r="K141" i="10"/>
  <c r="K156" i="10"/>
  <c r="K145" i="10"/>
  <c r="K140" i="10"/>
  <c r="K152" i="10"/>
  <c r="K148" i="10"/>
  <c r="AA64" i="10" l="1"/>
  <c r="AA74" i="10"/>
  <c r="AA100" i="10"/>
  <c r="AA90" i="10"/>
  <c r="L34" i="7" l="1"/>
  <c r="D38" i="7"/>
  <c r="L89" i="7"/>
  <c r="K77" i="7"/>
  <c r="L54" i="7"/>
  <c r="D58" i="7"/>
  <c r="D59" i="7" s="1"/>
  <c r="Z54" i="10"/>
  <c r="Z65" i="10" l="1"/>
  <c r="D39" i="7"/>
  <c r="D40" i="7" s="1"/>
  <c r="V46" i="10" s="1"/>
  <c r="V44" i="10"/>
  <c r="V74" i="10"/>
  <c r="V64" i="10"/>
  <c r="D94" i="7"/>
  <c r="D77" i="7"/>
  <c r="K39" i="7"/>
  <c r="K94" i="7"/>
  <c r="K78" i="7"/>
  <c r="D60" i="7"/>
  <c r="K59" i="7"/>
  <c r="C36" i="10"/>
  <c r="W64" i="10" l="1"/>
  <c r="E76" i="7" s="1"/>
  <c r="AA65" i="10"/>
  <c r="W74" i="10"/>
  <c r="E93" i="7" s="1"/>
  <c r="Z75" i="10"/>
  <c r="Z66" i="10"/>
  <c r="D95" i="7"/>
  <c r="V75" i="10"/>
  <c r="W75" i="10" s="1"/>
  <c r="E94" i="7" s="1"/>
  <c r="D78" i="7"/>
  <c r="V65" i="10"/>
  <c r="K40" i="7"/>
  <c r="D41" i="7"/>
  <c r="K95" i="7"/>
  <c r="K79" i="7"/>
  <c r="D61" i="7"/>
  <c r="V57" i="10" s="1"/>
  <c r="K60" i="7"/>
  <c r="K11" i="7"/>
  <c r="W65" i="10" l="1"/>
  <c r="E77" i="7" s="1"/>
  <c r="AA75" i="10"/>
  <c r="AA66" i="10"/>
  <c r="Z76" i="10"/>
  <c r="Z67" i="10"/>
  <c r="V58" i="10"/>
  <c r="V59" i="10"/>
  <c r="V76" i="10"/>
  <c r="W76" i="10" s="1"/>
  <c r="E95" i="7" s="1"/>
  <c r="D96" i="7"/>
  <c r="D79" i="7"/>
  <c r="V68" i="10" s="1"/>
  <c r="V66" i="10"/>
  <c r="D42" i="7"/>
  <c r="D43" i="7" s="1"/>
  <c r="V49" i="10" s="1"/>
  <c r="K41" i="7"/>
  <c r="K96" i="7"/>
  <c r="K80" i="7"/>
  <c r="K61" i="7"/>
  <c r="D62" i="7"/>
  <c r="E13" i="9"/>
  <c r="E9" i="9"/>
  <c r="W68" i="10" l="1"/>
  <c r="E80" i="7" s="1"/>
  <c r="W49" i="10"/>
  <c r="E43" i="7" s="1"/>
  <c r="W66" i="10"/>
  <c r="E78" i="7" s="1"/>
  <c r="W59" i="10"/>
  <c r="E63" i="7" s="1"/>
  <c r="AA76" i="10"/>
  <c r="AA67" i="10"/>
  <c r="Z77" i="10"/>
  <c r="K81" i="7"/>
  <c r="Z68" i="10"/>
  <c r="G13" i="9"/>
  <c r="V60" i="10"/>
  <c r="W60" i="10" s="1"/>
  <c r="E64" i="7" s="1"/>
  <c r="D63" i="7"/>
  <c r="D44" i="7"/>
  <c r="V50" i="10" s="1"/>
  <c r="V67" i="10"/>
  <c r="D80" i="7"/>
  <c r="D97" i="7"/>
  <c r="V77" i="10"/>
  <c r="W77" i="10" s="1"/>
  <c r="E96" i="7" s="1"/>
  <c r="K42" i="7"/>
  <c r="K43" i="7" s="1"/>
  <c r="K97" i="7"/>
  <c r="K62" i="7"/>
  <c r="Z58" i="10" s="1"/>
  <c r="E15" i="9"/>
  <c r="W67" i="10" l="1"/>
  <c r="E79" i="7" s="1"/>
  <c r="W50" i="10"/>
  <c r="E44" i="7" s="1"/>
  <c r="AA77" i="10"/>
  <c r="AA68" i="10"/>
  <c r="D98" i="7"/>
  <c r="Z49" i="10"/>
  <c r="AA49" i="10" s="1"/>
  <c r="Z69" i="10"/>
  <c r="K82" i="7"/>
  <c r="K98" i="7"/>
  <c r="Z78" i="10"/>
  <c r="AQ48" i="10"/>
  <c r="AQ49" i="10"/>
  <c r="V69" i="10"/>
  <c r="D81" i="7"/>
  <c r="D64" i="7"/>
  <c r="K63" i="7"/>
  <c r="Z59" i="10" s="1"/>
  <c r="AA59" i="10" s="1"/>
  <c r="L63" i="7" s="1"/>
  <c r="K44" i="7"/>
  <c r="V70" i="10"/>
  <c r="V78" i="10"/>
  <c r="W78" i="10" s="1"/>
  <c r="E97" i="7" s="1"/>
  <c r="H13" i="9"/>
  <c r="E66" i="13"/>
  <c r="D99" i="7" l="1"/>
  <c r="V80" i="10" s="1"/>
  <c r="W69" i="10"/>
  <c r="E81" i="7" s="1"/>
  <c r="W70" i="10"/>
  <c r="E82" i="7" s="1"/>
  <c r="AA78" i="10"/>
  <c r="AA69" i="10"/>
  <c r="V79" i="10"/>
  <c r="Z79" i="10"/>
  <c r="Z50" i="10"/>
  <c r="Z70" i="10"/>
  <c r="K99" i="7"/>
  <c r="D82" i="7"/>
  <c r="K64" i="7"/>
  <c r="Z60" i="10" s="1"/>
  <c r="AA60" i="10" s="1"/>
  <c r="L64" i="7" s="1"/>
  <c r="P130" i="10" l="1"/>
  <c r="N156" i="10"/>
  <c r="N130" i="10"/>
  <c r="L156" i="10"/>
  <c r="W79" i="10"/>
  <c r="E98" i="7" s="1"/>
  <c r="W80" i="10"/>
  <c r="E99" i="7" s="1"/>
  <c r="AA50" i="10"/>
  <c r="AA79" i="10"/>
  <c r="AA70" i="10"/>
  <c r="Z80" i="10"/>
  <c r="E14" i="9"/>
  <c r="AO49" i="10" s="1"/>
  <c r="AO46" i="10" l="1"/>
  <c r="AO48" i="10"/>
  <c r="AO50" i="10"/>
  <c r="AO47" i="10"/>
  <c r="AA80" i="10"/>
  <c r="G14" i="9" l="1"/>
  <c r="Z34" i="10"/>
  <c r="G18" i="9" l="1"/>
  <c r="H18" i="9" s="1"/>
  <c r="E18" i="9"/>
  <c r="D150" i="10" l="1"/>
  <c r="H124" i="10"/>
  <c r="D124" i="10"/>
  <c r="F150" i="10"/>
  <c r="F124" i="10"/>
  <c r="H150" i="10"/>
  <c r="N98" i="10"/>
  <c r="P124" i="10"/>
  <c r="N150" i="10"/>
  <c r="N124" i="10"/>
  <c r="J124" i="10"/>
  <c r="J150" i="10"/>
  <c r="L124" i="10"/>
  <c r="L150" i="10"/>
  <c r="F149" i="10"/>
  <c r="F123" i="10"/>
  <c r="D123" i="10"/>
  <c r="H149" i="10"/>
  <c r="H123" i="10"/>
  <c r="D149" i="10"/>
  <c r="N97" i="10"/>
  <c r="F201" i="10"/>
  <c r="H201" i="10"/>
  <c r="D201" i="10"/>
  <c r="J201" i="10"/>
  <c r="P123" i="10"/>
  <c r="N149" i="10"/>
  <c r="N123" i="10"/>
  <c r="J149" i="10"/>
  <c r="L123" i="10"/>
  <c r="J123" i="10"/>
  <c r="L149" i="10"/>
  <c r="P150" i="10"/>
  <c r="P98" i="10"/>
  <c r="P149" i="10"/>
  <c r="P97" i="10"/>
  <c r="L85" i="10" l="1"/>
  <c r="J85" i="10"/>
  <c r="I96" i="10" s="1"/>
  <c r="H85" i="10"/>
  <c r="F85" i="10"/>
  <c r="E88" i="10" s="1"/>
  <c r="D85" i="10"/>
  <c r="C88" i="10" s="1"/>
  <c r="L59" i="10"/>
  <c r="J59" i="10"/>
  <c r="H59" i="10"/>
  <c r="F59" i="10"/>
  <c r="D59" i="10"/>
  <c r="L33" i="10"/>
  <c r="J33" i="10"/>
  <c r="H33" i="10"/>
  <c r="R7" i="10"/>
  <c r="R6" i="10"/>
  <c r="F70" i="10" l="1"/>
  <c r="F81" i="10"/>
  <c r="F69" i="10"/>
  <c r="F80" i="10"/>
  <c r="F68" i="10"/>
  <c r="F79" i="10"/>
  <c r="F67" i="10"/>
  <c r="F78" i="10"/>
  <c r="F66" i="10"/>
  <c r="F77" i="10"/>
  <c r="F65" i="10"/>
  <c r="F76" i="10"/>
  <c r="F64" i="10"/>
  <c r="F75" i="10"/>
  <c r="F63" i="10"/>
  <c r="F74" i="10"/>
  <c r="F73" i="10"/>
  <c r="F72" i="10"/>
  <c r="F71" i="10"/>
  <c r="F62" i="10"/>
  <c r="H73" i="10"/>
  <c r="G81" i="10"/>
  <c r="H72" i="10"/>
  <c r="H71" i="10"/>
  <c r="H70" i="10"/>
  <c r="H81" i="10"/>
  <c r="H69" i="10"/>
  <c r="H80" i="10"/>
  <c r="H68" i="10"/>
  <c r="H79" i="10"/>
  <c r="H67" i="10"/>
  <c r="H78" i="10"/>
  <c r="H66" i="10"/>
  <c r="H64" i="10"/>
  <c r="H63" i="10"/>
  <c r="H62" i="10"/>
  <c r="H77" i="10"/>
  <c r="H76" i="10"/>
  <c r="H75" i="10"/>
  <c r="H74" i="10"/>
  <c r="H65" i="10"/>
  <c r="J77" i="10"/>
  <c r="J65" i="10"/>
  <c r="J76" i="10"/>
  <c r="J64" i="10"/>
  <c r="J75" i="10"/>
  <c r="J63" i="10"/>
  <c r="J74" i="10"/>
  <c r="J62" i="10"/>
  <c r="J73" i="10"/>
  <c r="J72" i="10"/>
  <c r="J71" i="10"/>
  <c r="J70" i="10"/>
  <c r="J80" i="10"/>
  <c r="J79" i="10"/>
  <c r="J78" i="10"/>
  <c r="J69" i="10"/>
  <c r="J68" i="10"/>
  <c r="J67" i="10"/>
  <c r="J66" i="10"/>
  <c r="J81" i="10"/>
  <c r="L81" i="10"/>
  <c r="L69" i="10"/>
  <c r="L80" i="10"/>
  <c r="L68" i="10"/>
  <c r="L79" i="10"/>
  <c r="L67" i="10"/>
  <c r="L78" i="10"/>
  <c r="L66" i="10"/>
  <c r="L77" i="10"/>
  <c r="L65" i="10"/>
  <c r="L76" i="10"/>
  <c r="L64" i="10"/>
  <c r="L75" i="10"/>
  <c r="L63" i="10"/>
  <c r="L74" i="10"/>
  <c r="L62" i="10"/>
  <c r="L73" i="10"/>
  <c r="L72" i="10"/>
  <c r="L71" i="10"/>
  <c r="L70" i="10"/>
  <c r="I45" i="10"/>
  <c r="I46" i="10"/>
  <c r="I47" i="10"/>
  <c r="I48" i="10"/>
  <c r="I49" i="10"/>
  <c r="I50" i="10"/>
  <c r="I51" i="10"/>
  <c r="I52" i="10"/>
  <c r="I53" i="10"/>
  <c r="I54" i="10"/>
  <c r="I55" i="10"/>
  <c r="J45" i="10"/>
  <c r="K45" i="10"/>
  <c r="K46" i="10"/>
  <c r="K47" i="10"/>
  <c r="K48" i="10"/>
  <c r="K49" i="10"/>
  <c r="K50" i="10"/>
  <c r="K51" i="10"/>
  <c r="K52" i="10"/>
  <c r="K53" i="10"/>
  <c r="K54" i="10"/>
  <c r="K55" i="10"/>
  <c r="L45" i="10"/>
  <c r="G45" i="10"/>
  <c r="G46" i="10"/>
  <c r="G47" i="10"/>
  <c r="G48" i="10"/>
  <c r="G49" i="10"/>
  <c r="G50" i="10"/>
  <c r="G51" i="10"/>
  <c r="G52" i="10"/>
  <c r="G53" i="10"/>
  <c r="G54" i="10"/>
  <c r="G55" i="10"/>
  <c r="H45" i="10"/>
  <c r="I67" i="10"/>
  <c r="I62" i="10"/>
  <c r="K44" i="10"/>
  <c r="K36" i="10"/>
  <c r="L129" i="7"/>
  <c r="L130" i="7"/>
  <c r="L112" i="7"/>
  <c r="G90" i="10"/>
  <c r="I89" i="10"/>
  <c r="E89" i="10"/>
  <c r="E94" i="10"/>
  <c r="E65" i="10"/>
  <c r="E69" i="10"/>
  <c r="E72" i="10"/>
  <c r="E76" i="10"/>
  <c r="E80" i="10"/>
  <c r="E68" i="10"/>
  <c r="E75" i="10"/>
  <c r="E66" i="10"/>
  <c r="E73" i="10"/>
  <c r="E77" i="10"/>
  <c r="E81" i="10"/>
  <c r="E64" i="10"/>
  <c r="E71" i="10"/>
  <c r="E63" i="10"/>
  <c r="E67" i="10"/>
  <c r="E70" i="10"/>
  <c r="E74" i="10"/>
  <c r="E78" i="10"/>
  <c r="E62" i="10"/>
  <c r="E79" i="10"/>
  <c r="G65" i="10"/>
  <c r="G69" i="10"/>
  <c r="G72" i="10"/>
  <c r="G76" i="10"/>
  <c r="G80" i="10"/>
  <c r="G64" i="10"/>
  <c r="G75" i="10"/>
  <c r="G66" i="10"/>
  <c r="G73" i="10"/>
  <c r="G77" i="10"/>
  <c r="G62" i="10"/>
  <c r="G71" i="10"/>
  <c r="G63" i="10"/>
  <c r="G67" i="10"/>
  <c r="G70" i="10"/>
  <c r="G74" i="10"/>
  <c r="G78" i="10"/>
  <c r="G68" i="10"/>
  <c r="G79" i="10"/>
  <c r="I66" i="10"/>
  <c r="I73" i="10"/>
  <c r="I77" i="10"/>
  <c r="I81" i="10"/>
  <c r="I72" i="10"/>
  <c r="I63" i="10"/>
  <c r="I70" i="10"/>
  <c r="I74" i="10"/>
  <c r="I78" i="10"/>
  <c r="I69" i="10"/>
  <c r="I80" i="10"/>
  <c r="I64" i="10"/>
  <c r="I68" i="10"/>
  <c r="I71" i="10"/>
  <c r="I75" i="10"/>
  <c r="I79" i="10"/>
  <c r="I65" i="10"/>
  <c r="I76" i="10"/>
  <c r="K63" i="10"/>
  <c r="K67" i="10"/>
  <c r="K70" i="10"/>
  <c r="K74" i="10"/>
  <c r="K78" i="10"/>
  <c r="K62" i="10"/>
  <c r="K81" i="10"/>
  <c r="K64" i="10"/>
  <c r="K68" i="10"/>
  <c r="K71" i="10"/>
  <c r="K75" i="10"/>
  <c r="K79" i="10"/>
  <c r="K73" i="10"/>
  <c r="K65" i="10"/>
  <c r="K69" i="10"/>
  <c r="K72" i="10"/>
  <c r="K76" i="10"/>
  <c r="K80" i="10"/>
  <c r="K66" i="10"/>
  <c r="K77" i="10"/>
  <c r="E38" i="10"/>
  <c r="E36" i="10"/>
  <c r="I103" i="10"/>
  <c r="G88" i="10"/>
  <c r="C65" i="10"/>
  <c r="C39" i="10"/>
  <c r="C43" i="10"/>
  <c r="C40" i="10"/>
  <c r="C37" i="10"/>
  <c r="C41" i="10"/>
  <c r="C44" i="10"/>
  <c r="C38" i="10"/>
  <c r="C42" i="10"/>
  <c r="I107" i="10"/>
  <c r="G100" i="10"/>
  <c r="G93" i="10"/>
  <c r="G106" i="10"/>
  <c r="H98" i="10"/>
  <c r="C80" i="10"/>
  <c r="C72" i="10"/>
  <c r="G44" i="10"/>
  <c r="F97" i="10"/>
  <c r="G42" i="10"/>
  <c r="C76" i="10"/>
  <c r="G105" i="10"/>
  <c r="G102" i="10"/>
  <c r="F99" i="10"/>
  <c r="I97" i="10"/>
  <c r="G95" i="10"/>
  <c r="F92" i="10"/>
  <c r="I90" i="10"/>
  <c r="F105" i="10"/>
  <c r="F90" i="10"/>
  <c r="G37" i="10"/>
  <c r="K38" i="10"/>
  <c r="C69" i="10"/>
  <c r="G107" i="10"/>
  <c r="F103" i="10"/>
  <c r="I101" i="10"/>
  <c r="G98" i="10"/>
  <c r="I94" i="10"/>
  <c r="G91" i="10"/>
  <c r="G39" i="10"/>
  <c r="K41" i="10"/>
  <c r="I88" i="10"/>
  <c r="F107" i="10"/>
  <c r="I105" i="10"/>
  <c r="G104" i="10"/>
  <c r="F101" i="10"/>
  <c r="I99" i="10"/>
  <c r="J97" i="10"/>
  <c r="G96" i="10"/>
  <c r="F94" i="10"/>
  <c r="I92" i="10"/>
  <c r="G89" i="10"/>
  <c r="C79" i="10"/>
  <c r="C75" i="10"/>
  <c r="C71" i="10"/>
  <c r="C68" i="10"/>
  <c r="C64" i="10"/>
  <c r="C62" i="10"/>
  <c r="C78" i="10"/>
  <c r="C74" i="10"/>
  <c r="C70" i="10"/>
  <c r="C67" i="10"/>
  <c r="C63" i="10"/>
  <c r="C81" i="10"/>
  <c r="C77" i="10"/>
  <c r="C73" i="10"/>
  <c r="C66" i="10"/>
  <c r="C90" i="10"/>
  <c r="C92" i="10"/>
  <c r="C94" i="10"/>
  <c r="C97" i="10"/>
  <c r="C99" i="10"/>
  <c r="C101" i="10"/>
  <c r="C103" i="10"/>
  <c r="C105" i="10"/>
  <c r="C107" i="10"/>
  <c r="D88" i="10"/>
  <c r="C98" i="10"/>
  <c r="C102" i="10"/>
  <c r="D89" i="10"/>
  <c r="D100" i="10"/>
  <c r="D102" i="10"/>
  <c r="D104" i="10"/>
  <c r="D90" i="10"/>
  <c r="D92" i="10"/>
  <c r="D94" i="10"/>
  <c r="D97" i="10"/>
  <c r="D99" i="10"/>
  <c r="D101" i="10"/>
  <c r="D103" i="10"/>
  <c r="D105" i="10"/>
  <c r="D107" i="10"/>
  <c r="C89" i="10"/>
  <c r="C91" i="10"/>
  <c r="C93" i="10"/>
  <c r="C95" i="10"/>
  <c r="C96" i="10"/>
  <c r="C100" i="10"/>
  <c r="C104" i="10"/>
  <c r="C106" i="10"/>
  <c r="D91" i="10"/>
  <c r="D93" i="10"/>
  <c r="D95" i="10"/>
  <c r="D96" i="10"/>
  <c r="D98" i="10"/>
  <c r="D106" i="10"/>
  <c r="K90" i="10"/>
  <c r="K92" i="10"/>
  <c r="K94" i="10"/>
  <c r="K97" i="10"/>
  <c r="K99" i="10"/>
  <c r="K101" i="10"/>
  <c r="K103" i="10"/>
  <c r="K105" i="10"/>
  <c r="K107" i="10"/>
  <c r="K88" i="10"/>
  <c r="K95" i="10"/>
  <c r="K96" i="10"/>
  <c r="K100" i="10"/>
  <c r="K104" i="10"/>
  <c r="L97" i="10"/>
  <c r="K89" i="10"/>
  <c r="K91" i="10"/>
  <c r="K93" i="10"/>
  <c r="K98" i="10"/>
  <c r="K102" i="10"/>
  <c r="K106" i="10"/>
  <c r="L98" i="10"/>
  <c r="E107" i="10"/>
  <c r="E103" i="10"/>
  <c r="E99" i="10"/>
  <c r="E92" i="10"/>
  <c r="E90" i="10"/>
  <c r="F88" i="10"/>
  <c r="F106" i="10"/>
  <c r="F104" i="10"/>
  <c r="F102" i="10"/>
  <c r="F100" i="10"/>
  <c r="J98" i="10"/>
  <c r="F98" i="10"/>
  <c r="H97" i="10"/>
  <c r="F96" i="10"/>
  <c r="F95" i="10"/>
  <c r="F93" i="10"/>
  <c r="F91" i="10"/>
  <c r="F89" i="10"/>
  <c r="E105" i="10"/>
  <c r="E101" i="10"/>
  <c r="E97" i="10"/>
  <c r="I106" i="10"/>
  <c r="E106" i="10"/>
  <c r="I104" i="10"/>
  <c r="E104" i="10"/>
  <c r="G103" i="10"/>
  <c r="I102" i="10"/>
  <c r="E102" i="10"/>
  <c r="G101" i="10"/>
  <c r="I100" i="10"/>
  <c r="E100" i="10"/>
  <c r="G99" i="10"/>
  <c r="I98" i="10"/>
  <c r="E98" i="10"/>
  <c r="G97" i="10"/>
  <c r="E96" i="10"/>
  <c r="I95" i="10"/>
  <c r="E95" i="10"/>
  <c r="G94" i="10"/>
  <c r="I93" i="10"/>
  <c r="E93" i="10"/>
  <c r="G92" i="10"/>
  <c r="I91" i="10"/>
  <c r="E91" i="10"/>
  <c r="I43" i="10"/>
  <c r="I39" i="10"/>
  <c r="E42" i="10"/>
  <c r="I37" i="10"/>
  <c r="I42" i="10"/>
  <c r="K43" i="10"/>
  <c r="K39" i="10"/>
  <c r="E43" i="10"/>
  <c r="G38" i="10"/>
  <c r="G43" i="10"/>
  <c r="I38" i="10"/>
  <c r="K40" i="10"/>
  <c r="E44" i="10"/>
  <c r="E41" i="10"/>
  <c r="E37" i="10"/>
  <c r="I40" i="10"/>
  <c r="I44" i="10"/>
  <c r="G40" i="10"/>
  <c r="E40" i="10"/>
  <c r="G41" i="10"/>
  <c r="G36" i="10"/>
  <c r="I41" i="10"/>
  <c r="I36" i="10"/>
  <c r="K42" i="10"/>
  <c r="K37" i="10"/>
  <c r="L117" i="7" l="1"/>
  <c r="L134" i="7"/>
  <c r="L115" i="7"/>
  <c r="L135" i="7"/>
  <c r="L116" i="7"/>
  <c r="L133" i="7"/>
  <c r="L131" i="7"/>
  <c r="L113" i="7"/>
  <c r="L132" i="7"/>
  <c r="L114" i="7"/>
  <c r="W44" i="10"/>
  <c r="E38" i="7" s="1"/>
  <c r="L81" i="7"/>
  <c r="L80" i="7"/>
  <c r="F64" i="7"/>
  <c r="W58" i="10"/>
  <c r="E62" i="7" s="1"/>
  <c r="AA58" i="10"/>
  <c r="L62" i="7" s="1"/>
  <c r="M64" i="7"/>
  <c r="L44" i="7"/>
  <c r="L43" i="7"/>
  <c r="L93" i="7"/>
  <c r="X75" i="10"/>
  <c r="G94" i="7" s="1"/>
  <c r="AA34" i="10"/>
  <c r="L18" i="7" s="1"/>
  <c r="L78" i="7"/>
  <c r="L77" i="7"/>
  <c r="L79" i="7"/>
  <c r="L82" i="7"/>
  <c r="L76" i="7"/>
  <c r="F129" i="7" l="1"/>
  <c r="F111" i="7"/>
  <c r="F130" i="7"/>
  <c r="F112" i="7"/>
  <c r="F132" i="7"/>
  <c r="F114" i="7"/>
  <c r="F134" i="7"/>
  <c r="F116" i="7"/>
  <c r="F135" i="7"/>
  <c r="F117" i="7"/>
  <c r="F133" i="7"/>
  <c r="F115" i="7"/>
  <c r="F131" i="7"/>
  <c r="F113" i="7"/>
  <c r="L98" i="7"/>
  <c r="M134" i="7"/>
  <c r="M116" i="7"/>
  <c r="L99" i="7"/>
  <c r="M135" i="7"/>
  <c r="M117" i="7"/>
  <c r="M93" i="7"/>
  <c r="M111" i="7"/>
  <c r="M129" i="7"/>
  <c r="L94" i="7"/>
  <c r="M112" i="7"/>
  <c r="M130" i="7"/>
  <c r="L96" i="7"/>
  <c r="M132" i="7"/>
  <c r="M114" i="7"/>
  <c r="L95" i="7"/>
  <c r="M113" i="7"/>
  <c r="M131" i="7"/>
  <c r="L97" i="7"/>
  <c r="M133" i="7"/>
  <c r="M115" i="7"/>
  <c r="M76" i="7"/>
  <c r="K53" i="7"/>
  <c r="K33" i="7"/>
  <c r="F118" i="7" l="1"/>
  <c r="F136" i="7"/>
  <c r="M118" i="7"/>
  <c r="M136" i="7"/>
  <c r="K9" i="7"/>
  <c r="V55" i="10" l="1"/>
  <c r="W55" i="10" s="1"/>
  <c r="V54" i="10"/>
  <c r="X54" i="10" s="1"/>
  <c r="G58" i="7" s="1"/>
  <c r="V45" i="10"/>
  <c r="F38" i="7"/>
  <c r="Z44" i="10"/>
  <c r="Z55" i="10"/>
  <c r="AB54" i="10"/>
  <c r="N58" i="7" s="1"/>
  <c r="E59" i="7" l="1"/>
  <c r="F59" i="7" s="1"/>
  <c r="W45" i="10"/>
  <c r="Z45" i="10"/>
  <c r="AB45" i="10" s="1"/>
  <c r="X55" i="10"/>
  <c r="G59" i="7" s="1"/>
  <c r="AA54" i="10"/>
  <c r="L58" i="7" s="1"/>
  <c r="M58" i="7" s="1"/>
  <c r="AB55" i="10"/>
  <c r="N59" i="7" s="1"/>
  <c r="AA55" i="10"/>
  <c r="L59" i="7" s="1"/>
  <c r="M59" i="7" s="1"/>
  <c r="AA44" i="10"/>
  <c r="L38" i="7" s="1"/>
  <c r="M38" i="7" s="1"/>
  <c r="W54" i="10"/>
  <c r="W46" i="10"/>
  <c r="V56" i="10"/>
  <c r="Z56" i="10"/>
  <c r="AA56" i="10" s="1"/>
  <c r="L60" i="7" s="1"/>
  <c r="M60" i="7" s="1"/>
  <c r="Z46" i="10"/>
  <c r="D18" i="7"/>
  <c r="V34" i="10" s="1"/>
  <c r="W34" i="10" s="1"/>
  <c r="E18" i="7" s="1"/>
  <c r="AQ46" i="10"/>
  <c r="I59" i="7" l="1"/>
  <c r="E58" i="7"/>
  <c r="F58" i="7" s="1"/>
  <c r="I58" i="7" s="1"/>
  <c r="E40" i="7"/>
  <c r="F40" i="7" s="1"/>
  <c r="E39" i="7"/>
  <c r="F39" i="7" s="1"/>
  <c r="AA45" i="10"/>
  <c r="L39" i="7" s="1"/>
  <c r="M39" i="7" s="1"/>
  <c r="W57" i="10"/>
  <c r="E61" i="7" s="1"/>
  <c r="AA46" i="10"/>
  <c r="L40" i="7" s="1"/>
  <c r="M40" i="7" s="1"/>
  <c r="W56" i="10"/>
  <c r="V47" i="10"/>
  <c r="W47" i="10" s="1"/>
  <c r="E41" i="7" s="1"/>
  <c r="Z57" i="10"/>
  <c r="AA57" i="10" s="1"/>
  <c r="Z47" i="10"/>
  <c r="AQ47" i="10"/>
  <c r="AQ50" i="10"/>
  <c r="E60" i="7" l="1"/>
  <c r="F60" i="7" s="1"/>
  <c r="G15" i="9"/>
  <c r="F76" i="7"/>
  <c r="F93" i="7"/>
  <c r="AA47" i="10"/>
  <c r="V48" i="10"/>
  <c r="Z48" i="10"/>
  <c r="K19" i="7"/>
  <c r="K20" i="7" s="1"/>
  <c r="D19" i="7"/>
  <c r="D39" i="10"/>
  <c r="D71" i="10"/>
  <c r="D72" i="10"/>
  <c r="P62" i="10"/>
  <c r="P55" i="10" l="1"/>
  <c r="N55" i="10"/>
  <c r="L55" i="10"/>
  <c r="F48" i="10"/>
  <c r="D48" i="10"/>
  <c r="J48" i="10"/>
  <c r="H48" i="10"/>
  <c r="F52" i="10"/>
  <c r="D52" i="10"/>
  <c r="J52" i="10"/>
  <c r="H52" i="10"/>
  <c r="N48" i="10"/>
  <c r="P48" i="10"/>
  <c r="L48" i="10"/>
  <c r="P52" i="10"/>
  <c r="N52" i="10"/>
  <c r="L52" i="10"/>
  <c r="F49" i="10"/>
  <c r="D49" i="10"/>
  <c r="J49" i="10"/>
  <c r="H49" i="10"/>
  <c r="F53" i="10"/>
  <c r="D53" i="10"/>
  <c r="J53" i="10"/>
  <c r="H53" i="10"/>
  <c r="N49" i="10"/>
  <c r="P49" i="10"/>
  <c r="L49" i="10"/>
  <c r="P53" i="10"/>
  <c r="N53" i="10"/>
  <c r="L53" i="10"/>
  <c r="F46" i="10"/>
  <c r="D46" i="10"/>
  <c r="J46" i="10"/>
  <c r="H46" i="10"/>
  <c r="F50" i="10"/>
  <c r="D50" i="10"/>
  <c r="J50" i="10"/>
  <c r="H50" i="10"/>
  <c r="F54" i="10"/>
  <c r="D54" i="10"/>
  <c r="H54" i="10"/>
  <c r="J54" i="10"/>
  <c r="P46" i="10"/>
  <c r="N46" i="10"/>
  <c r="L46" i="10"/>
  <c r="P50" i="10"/>
  <c r="N50" i="10"/>
  <c r="L50" i="10"/>
  <c r="P54" i="10"/>
  <c r="N54" i="10"/>
  <c r="L54" i="10"/>
  <c r="F47" i="10"/>
  <c r="D47" i="10"/>
  <c r="J47" i="10"/>
  <c r="H47" i="10"/>
  <c r="F51" i="10"/>
  <c r="D51" i="10"/>
  <c r="J51" i="10"/>
  <c r="H51" i="10"/>
  <c r="F55" i="10"/>
  <c r="D55" i="10"/>
  <c r="H55" i="10"/>
  <c r="J55" i="10"/>
  <c r="N47" i="10"/>
  <c r="P47" i="10"/>
  <c r="L47" i="10"/>
  <c r="P51" i="10"/>
  <c r="N51" i="10"/>
  <c r="L51" i="10"/>
  <c r="J208" i="10"/>
  <c r="J130" i="10"/>
  <c r="L130" i="10"/>
  <c r="J156" i="10"/>
  <c r="D202" i="10"/>
  <c r="F202" i="10"/>
  <c r="H202" i="10"/>
  <c r="J202" i="10"/>
  <c r="S6" i="10"/>
  <c r="D36" i="10"/>
  <c r="H208" i="10"/>
  <c r="D208" i="10"/>
  <c r="F208" i="10"/>
  <c r="G16" i="9"/>
  <c r="G19" i="9" s="1"/>
  <c r="F159" i="10"/>
  <c r="H133" i="10"/>
  <c r="F133" i="10"/>
  <c r="N107" i="10"/>
  <c r="D133" i="10"/>
  <c r="H159" i="10"/>
  <c r="D159" i="10"/>
  <c r="L107" i="10"/>
  <c r="H107" i="10"/>
  <c r="J107" i="10"/>
  <c r="P209" i="10"/>
  <c r="L209" i="10"/>
  <c r="N209" i="10"/>
  <c r="D117" i="10"/>
  <c r="F143" i="10"/>
  <c r="F117" i="10"/>
  <c r="H117" i="10"/>
  <c r="H143" i="10"/>
  <c r="D143" i="10"/>
  <c r="N91" i="10"/>
  <c r="H91" i="10"/>
  <c r="J91" i="10"/>
  <c r="L91" i="10"/>
  <c r="D197" i="10"/>
  <c r="F197" i="10"/>
  <c r="H197" i="10"/>
  <c r="J197" i="10"/>
  <c r="N119" i="10"/>
  <c r="P119" i="10"/>
  <c r="N145" i="10"/>
  <c r="J119" i="10"/>
  <c r="L119" i="10"/>
  <c r="J145" i="10"/>
  <c r="L145" i="10"/>
  <c r="N41" i="10"/>
  <c r="H206" i="10"/>
  <c r="J206" i="10"/>
  <c r="D206" i="10"/>
  <c r="F206" i="10"/>
  <c r="N154" i="10"/>
  <c r="N128" i="10"/>
  <c r="P128" i="10"/>
  <c r="J128" i="10"/>
  <c r="J154" i="10"/>
  <c r="L154" i="10"/>
  <c r="L128" i="10"/>
  <c r="P195" i="10"/>
  <c r="L195" i="10"/>
  <c r="N195" i="10"/>
  <c r="L202" i="10"/>
  <c r="N202" i="10"/>
  <c r="P202" i="10"/>
  <c r="L210" i="10"/>
  <c r="N210" i="10"/>
  <c r="P210" i="10"/>
  <c r="H172" i="10"/>
  <c r="J172" i="10"/>
  <c r="F172" i="10"/>
  <c r="P172" i="10"/>
  <c r="D172" i="10"/>
  <c r="N172" i="10"/>
  <c r="L172" i="10"/>
  <c r="H179" i="10"/>
  <c r="N179" i="10"/>
  <c r="J179" i="10"/>
  <c r="D179" i="10"/>
  <c r="F179" i="10"/>
  <c r="L179" i="10"/>
  <c r="P179" i="10"/>
  <c r="D196" i="10"/>
  <c r="J196" i="10"/>
  <c r="F196" i="10"/>
  <c r="H196" i="10"/>
  <c r="P118" i="10"/>
  <c r="N144" i="10"/>
  <c r="N118" i="10"/>
  <c r="N40" i="10"/>
  <c r="J144" i="10"/>
  <c r="L118" i="10"/>
  <c r="J118" i="10"/>
  <c r="L144" i="10"/>
  <c r="N171" i="10"/>
  <c r="J171" i="10"/>
  <c r="L171" i="10"/>
  <c r="F171" i="10"/>
  <c r="D171" i="10"/>
  <c r="P171" i="10"/>
  <c r="H171" i="10"/>
  <c r="F142" i="10"/>
  <c r="D116" i="10"/>
  <c r="H142" i="10"/>
  <c r="H116" i="10"/>
  <c r="D142" i="10"/>
  <c r="F116" i="10"/>
  <c r="N90" i="10"/>
  <c r="J90" i="10"/>
  <c r="H90" i="10"/>
  <c r="L90" i="10"/>
  <c r="D207" i="10"/>
  <c r="J207" i="10"/>
  <c r="F207" i="10"/>
  <c r="H207" i="10"/>
  <c r="N155" i="10"/>
  <c r="N129" i="10"/>
  <c r="P129" i="10"/>
  <c r="L155" i="10"/>
  <c r="L129" i="10"/>
  <c r="J155" i="10"/>
  <c r="J129" i="10"/>
  <c r="P196" i="10"/>
  <c r="L196" i="10"/>
  <c r="N196" i="10"/>
  <c r="N203" i="10"/>
  <c r="P203" i="10"/>
  <c r="L203" i="10"/>
  <c r="P211" i="10"/>
  <c r="L211" i="10"/>
  <c r="N211" i="10"/>
  <c r="D173" i="10"/>
  <c r="N173" i="10"/>
  <c r="L173" i="10"/>
  <c r="J173" i="10"/>
  <c r="F173" i="10"/>
  <c r="H173" i="10"/>
  <c r="P173" i="10"/>
  <c r="H180" i="10"/>
  <c r="J180" i="10"/>
  <c r="D180" i="10"/>
  <c r="N180" i="10"/>
  <c r="P180" i="10"/>
  <c r="L180" i="10"/>
  <c r="F180" i="10"/>
  <c r="F156" i="10"/>
  <c r="D130" i="10"/>
  <c r="H130" i="10"/>
  <c r="H156" i="10"/>
  <c r="F130" i="10"/>
  <c r="D156" i="10"/>
  <c r="N104" i="10"/>
  <c r="H104" i="10"/>
  <c r="L104" i="10"/>
  <c r="J104" i="10"/>
  <c r="D141" i="10"/>
  <c r="H115" i="10"/>
  <c r="F115" i="10"/>
  <c r="H141" i="10"/>
  <c r="F141" i="10"/>
  <c r="D115" i="10"/>
  <c r="N89" i="10"/>
  <c r="L89" i="10"/>
  <c r="H89" i="10"/>
  <c r="J89" i="10"/>
  <c r="D199" i="10"/>
  <c r="F199" i="10"/>
  <c r="H199" i="10"/>
  <c r="J199" i="10"/>
  <c r="N147" i="10"/>
  <c r="N121" i="10"/>
  <c r="P121" i="10"/>
  <c r="J147" i="10"/>
  <c r="L147" i="10"/>
  <c r="L121" i="10"/>
  <c r="J121" i="10"/>
  <c r="N43" i="10"/>
  <c r="D209" i="10"/>
  <c r="J209" i="10"/>
  <c r="F209" i="10"/>
  <c r="H209" i="10"/>
  <c r="P131" i="10"/>
  <c r="N131" i="10"/>
  <c r="N157" i="10"/>
  <c r="L157" i="10"/>
  <c r="L131" i="10"/>
  <c r="J157" i="10"/>
  <c r="J131" i="10"/>
  <c r="L197" i="10"/>
  <c r="N197" i="10"/>
  <c r="P197" i="10"/>
  <c r="N204" i="10"/>
  <c r="L204" i="10"/>
  <c r="P204" i="10"/>
  <c r="H166" i="10"/>
  <c r="P166" i="10"/>
  <c r="N166" i="10"/>
  <c r="D166" i="10"/>
  <c r="L166" i="10"/>
  <c r="F166" i="10"/>
  <c r="J166" i="10"/>
  <c r="L181" i="10"/>
  <c r="N181" i="10"/>
  <c r="D181" i="10"/>
  <c r="J181" i="10"/>
  <c r="P181" i="10"/>
  <c r="H181" i="10"/>
  <c r="F181" i="10"/>
  <c r="D118" i="10"/>
  <c r="F118" i="10"/>
  <c r="D144" i="10"/>
  <c r="F144" i="10"/>
  <c r="H118" i="10"/>
  <c r="H144" i="10"/>
  <c r="N92" i="10"/>
  <c r="L92" i="10"/>
  <c r="H92" i="10"/>
  <c r="J92" i="10"/>
  <c r="N201" i="10"/>
  <c r="P201" i="10"/>
  <c r="L201" i="10"/>
  <c r="J198" i="10"/>
  <c r="F198" i="10"/>
  <c r="H198" i="10"/>
  <c r="D198" i="10"/>
  <c r="N120" i="10"/>
  <c r="N146" i="10"/>
  <c r="P120" i="10"/>
  <c r="L146" i="10"/>
  <c r="N42" i="10"/>
  <c r="J120" i="10"/>
  <c r="L120" i="10"/>
  <c r="J146" i="10"/>
  <c r="J192" i="10"/>
  <c r="F192" i="10"/>
  <c r="D192" i="10"/>
  <c r="H192" i="10"/>
  <c r="N114" i="10"/>
  <c r="P114" i="10"/>
  <c r="N140" i="10"/>
  <c r="J114" i="10"/>
  <c r="J140" i="10"/>
  <c r="N36" i="10"/>
  <c r="L140" i="10"/>
  <c r="L114" i="10"/>
  <c r="J210" i="10"/>
  <c r="D210" i="10"/>
  <c r="F210" i="10"/>
  <c r="H210" i="10"/>
  <c r="P132" i="10"/>
  <c r="N158" i="10"/>
  <c r="N132" i="10"/>
  <c r="L132" i="10"/>
  <c r="J132" i="10"/>
  <c r="J158" i="10"/>
  <c r="L158" i="10"/>
  <c r="L198" i="10"/>
  <c r="N198" i="10"/>
  <c r="P198" i="10"/>
  <c r="P205" i="10"/>
  <c r="L205" i="10"/>
  <c r="N205" i="10"/>
  <c r="H167" i="10"/>
  <c r="P167" i="10"/>
  <c r="F167" i="10"/>
  <c r="J167" i="10"/>
  <c r="D167" i="10"/>
  <c r="N167" i="10"/>
  <c r="L167" i="10"/>
  <c r="F174" i="10"/>
  <c r="N174" i="10"/>
  <c r="L174" i="10"/>
  <c r="J174" i="10"/>
  <c r="D174" i="10"/>
  <c r="H174" i="10"/>
  <c r="P174" i="10"/>
  <c r="D182" i="10"/>
  <c r="H182" i="10"/>
  <c r="J182" i="10"/>
  <c r="P182" i="10"/>
  <c r="N182" i="10"/>
  <c r="F182" i="10"/>
  <c r="L182" i="10"/>
  <c r="F125" i="10"/>
  <c r="D125" i="10"/>
  <c r="H151" i="10"/>
  <c r="D151" i="10"/>
  <c r="F151" i="10"/>
  <c r="H125" i="10"/>
  <c r="N99" i="10"/>
  <c r="L99" i="10"/>
  <c r="H99" i="10"/>
  <c r="J99" i="10"/>
  <c r="J178" i="10"/>
  <c r="P178" i="10"/>
  <c r="H178" i="10"/>
  <c r="N178" i="10"/>
  <c r="L178" i="10"/>
  <c r="D178" i="10"/>
  <c r="F178" i="10"/>
  <c r="H158" i="10"/>
  <c r="H132" i="10"/>
  <c r="D158" i="10"/>
  <c r="F132" i="10"/>
  <c r="D132" i="10"/>
  <c r="F158" i="10"/>
  <c r="N106" i="10"/>
  <c r="L106" i="10"/>
  <c r="J106" i="10"/>
  <c r="H106" i="10"/>
  <c r="F148" i="10"/>
  <c r="D122" i="10"/>
  <c r="F122" i="10"/>
  <c r="H122" i="10"/>
  <c r="H148" i="10"/>
  <c r="D148" i="10"/>
  <c r="N96" i="10"/>
  <c r="H96" i="10"/>
  <c r="L96" i="10"/>
  <c r="J96" i="10"/>
  <c r="F155" i="10"/>
  <c r="D155" i="10"/>
  <c r="H155" i="10"/>
  <c r="F129" i="10"/>
  <c r="H129" i="10"/>
  <c r="D129" i="10"/>
  <c r="N103" i="10"/>
  <c r="J103" i="10"/>
  <c r="H103" i="10"/>
  <c r="L103" i="10"/>
  <c r="H128" i="10"/>
  <c r="H154" i="10"/>
  <c r="D154" i="10"/>
  <c r="F154" i="10"/>
  <c r="F128" i="10"/>
  <c r="D128" i="10"/>
  <c r="N102" i="10"/>
  <c r="L102" i="10"/>
  <c r="H102" i="10"/>
  <c r="J102" i="10"/>
  <c r="D121" i="10"/>
  <c r="D147" i="10"/>
  <c r="F147" i="10"/>
  <c r="H121" i="10"/>
  <c r="F121" i="10"/>
  <c r="H147" i="10"/>
  <c r="N95" i="10"/>
  <c r="L95" i="10"/>
  <c r="H95" i="10"/>
  <c r="J95" i="10"/>
  <c r="H193" i="10"/>
  <c r="J193" i="10"/>
  <c r="D193" i="10"/>
  <c r="F193" i="10"/>
  <c r="N141" i="10"/>
  <c r="N115" i="10"/>
  <c r="P115" i="10"/>
  <c r="J115" i="10"/>
  <c r="L115" i="10"/>
  <c r="J141" i="10"/>
  <c r="L141" i="10"/>
  <c r="N37" i="10"/>
  <c r="J37" i="10"/>
  <c r="F200" i="10"/>
  <c r="J122" i="10"/>
  <c r="H200" i="10"/>
  <c r="J200" i="10"/>
  <c r="D200" i="10"/>
  <c r="N148" i="10"/>
  <c r="N122" i="10"/>
  <c r="P122" i="10"/>
  <c r="L148" i="10"/>
  <c r="L122" i="10"/>
  <c r="J148" i="10"/>
  <c r="N44" i="10"/>
  <c r="D211" i="10"/>
  <c r="J211" i="10"/>
  <c r="F211" i="10"/>
  <c r="H211" i="10"/>
  <c r="P133" i="10"/>
  <c r="N159" i="10"/>
  <c r="N133" i="10"/>
  <c r="L159" i="10"/>
  <c r="L133" i="10"/>
  <c r="J133" i="10"/>
  <c r="J159" i="10"/>
  <c r="L199" i="10"/>
  <c r="P199" i="10"/>
  <c r="N199" i="10"/>
  <c r="N206" i="10"/>
  <c r="P206" i="10"/>
  <c r="L206" i="10"/>
  <c r="L168" i="10"/>
  <c r="H168" i="10"/>
  <c r="D168" i="10"/>
  <c r="J168" i="10"/>
  <c r="P168" i="10"/>
  <c r="N168" i="10"/>
  <c r="F168" i="10"/>
  <c r="N175" i="10"/>
  <c r="H175" i="10"/>
  <c r="F175" i="10"/>
  <c r="D175" i="10"/>
  <c r="L175" i="10"/>
  <c r="J175" i="10"/>
  <c r="P175" i="10"/>
  <c r="H183" i="10"/>
  <c r="J183" i="10"/>
  <c r="P183" i="10"/>
  <c r="L183" i="10"/>
  <c r="N183" i="10"/>
  <c r="D183" i="10"/>
  <c r="F183" i="10"/>
  <c r="P194" i="10"/>
  <c r="N194" i="10"/>
  <c r="L194" i="10"/>
  <c r="D120" i="10"/>
  <c r="H146" i="10"/>
  <c r="F146" i="10"/>
  <c r="H120" i="10"/>
  <c r="D146" i="10"/>
  <c r="F120" i="10"/>
  <c r="N94" i="10"/>
  <c r="L94" i="10"/>
  <c r="H94" i="10"/>
  <c r="J94" i="10"/>
  <c r="J125" i="10"/>
  <c r="F203" i="10"/>
  <c r="H203" i="10"/>
  <c r="D203" i="10"/>
  <c r="J203" i="10"/>
  <c r="P125" i="10"/>
  <c r="N151" i="10"/>
  <c r="N125" i="10"/>
  <c r="L125" i="10"/>
  <c r="J151" i="10"/>
  <c r="L151" i="10"/>
  <c r="J169" i="10"/>
  <c r="D169" i="10"/>
  <c r="L169" i="10"/>
  <c r="H169" i="10"/>
  <c r="P169" i="10"/>
  <c r="F169" i="10"/>
  <c r="N169" i="10"/>
  <c r="J176" i="10"/>
  <c r="P176" i="10"/>
  <c r="D176" i="10"/>
  <c r="N176" i="10"/>
  <c r="L176" i="10"/>
  <c r="H176" i="10"/>
  <c r="F176" i="10"/>
  <c r="J184" i="10"/>
  <c r="L184" i="10"/>
  <c r="H184" i="10"/>
  <c r="D184" i="10"/>
  <c r="P184" i="10"/>
  <c r="F184" i="10"/>
  <c r="N184" i="10"/>
  <c r="H205" i="10"/>
  <c r="D205" i="10"/>
  <c r="J205" i="10"/>
  <c r="F205" i="10"/>
  <c r="N127" i="10"/>
  <c r="P127" i="10"/>
  <c r="N153" i="10"/>
  <c r="L127" i="10"/>
  <c r="J153" i="10"/>
  <c r="L153" i="10"/>
  <c r="J127" i="10"/>
  <c r="H131" i="10"/>
  <c r="D157" i="10"/>
  <c r="F131" i="10"/>
  <c r="F157" i="10"/>
  <c r="D131" i="10"/>
  <c r="H157" i="10"/>
  <c r="N105" i="10"/>
  <c r="J105" i="10"/>
  <c r="L105" i="10"/>
  <c r="H105" i="10"/>
  <c r="F127" i="10"/>
  <c r="H127" i="10"/>
  <c r="D127" i="10"/>
  <c r="D153" i="10"/>
  <c r="F153" i="10"/>
  <c r="H153" i="10"/>
  <c r="N101" i="10"/>
  <c r="J101" i="10"/>
  <c r="L101" i="10"/>
  <c r="H101" i="10"/>
  <c r="D194" i="10"/>
  <c r="J194" i="10"/>
  <c r="F194" i="10"/>
  <c r="H194" i="10"/>
  <c r="P116" i="10"/>
  <c r="N142" i="10"/>
  <c r="N116" i="10"/>
  <c r="J116" i="10"/>
  <c r="N38" i="10"/>
  <c r="L142" i="10"/>
  <c r="L116" i="10"/>
  <c r="J142" i="10"/>
  <c r="L192" i="10"/>
  <c r="P192" i="10"/>
  <c r="N192" i="10"/>
  <c r="P207" i="10"/>
  <c r="L207" i="10"/>
  <c r="N207" i="10"/>
  <c r="D114" i="10"/>
  <c r="F114" i="10"/>
  <c r="F140" i="10"/>
  <c r="H114" i="10"/>
  <c r="H140" i="10"/>
  <c r="D140" i="10"/>
  <c r="N88" i="10"/>
  <c r="H88" i="10"/>
  <c r="J88" i="10"/>
  <c r="L88" i="10"/>
  <c r="F152" i="10"/>
  <c r="D126" i="10"/>
  <c r="H126" i="10"/>
  <c r="H152" i="10"/>
  <c r="D152" i="10"/>
  <c r="F126" i="10"/>
  <c r="N100" i="10"/>
  <c r="H100" i="10"/>
  <c r="L100" i="10"/>
  <c r="J100" i="10"/>
  <c r="H119" i="10"/>
  <c r="H145" i="10"/>
  <c r="D145" i="10"/>
  <c r="F119" i="10"/>
  <c r="F145" i="10"/>
  <c r="D119" i="10"/>
  <c r="N93" i="10"/>
  <c r="L93" i="10"/>
  <c r="H93" i="10"/>
  <c r="J93" i="10"/>
  <c r="J195" i="10"/>
  <c r="D195" i="10"/>
  <c r="F195" i="10"/>
  <c r="H195" i="10"/>
  <c r="P117" i="10"/>
  <c r="N143" i="10"/>
  <c r="N117" i="10"/>
  <c r="L117" i="10"/>
  <c r="J143" i="10"/>
  <c r="L143" i="10"/>
  <c r="J117" i="10"/>
  <c r="N39" i="10"/>
  <c r="H204" i="10"/>
  <c r="J204" i="10"/>
  <c r="D204" i="10"/>
  <c r="F204" i="10"/>
  <c r="P126" i="10"/>
  <c r="N126" i="10"/>
  <c r="N152" i="10"/>
  <c r="J126" i="10"/>
  <c r="L152" i="10"/>
  <c r="L126" i="10"/>
  <c r="J152" i="10"/>
  <c r="P193" i="10"/>
  <c r="L193" i="10"/>
  <c r="N193" i="10"/>
  <c r="L200" i="10"/>
  <c r="N200" i="10"/>
  <c r="P200" i="10"/>
  <c r="L208" i="10"/>
  <c r="N208" i="10"/>
  <c r="P208" i="10"/>
  <c r="F170" i="10"/>
  <c r="J170" i="10"/>
  <c r="H170" i="10"/>
  <c r="P170" i="10"/>
  <c r="L170" i="10"/>
  <c r="D170" i="10"/>
  <c r="N170" i="10"/>
  <c r="H177" i="10"/>
  <c r="L177" i="10"/>
  <c r="N177" i="10"/>
  <c r="D177" i="10"/>
  <c r="F177" i="10"/>
  <c r="J177" i="10"/>
  <c r="P177" i="10"/>
  <c r="H185" i="10"/>
  <c r="L185" i="10"/>
  <c r="F185" i="10"/>
  <c r="N185" i="10"/>
  <c r="J185" i="10"/>
  <c r="P185" i="10"/>
  <c r="D185" i="10"/>
  <c r="D62" i="10"/>
  <c r="P140" i="10"/>
  <c r="P36" i="10"/>
  <c r="P88" i="10"/>
  <c r="D74" i="10"/>
  <c r="P152" i="10"/>
  <c r="P100" i="10"/>
  <c r="D70" i="10"/>
  <c r="P148" i="10"/>
  <c r="P96" i="10"/>
  <c r="P44" i="10"/>
  <c r="D67" i="10"/>
  <c r="P145" i="10"/>
  <c r="P41" i="10"/>
  <c r="P93" i="10"/>
  <c r="D63" i="10"/>
  <c r="P141" i="10"/>
  <c r="P89" i="10"/>
  <c r="P37" i="10"/>
  <c r="D78" i="10"/>
  <c r="P156" i="10"/>
  <c r="P104" i="10"/>
  <c r="D81" i="10"/>
  <c r="P159" i="10"/>
  <c r="P107" i="10"/>
  <c r="D77" i="10"/>
  <c r="P155" i="10"/>
  <c r="P103" i="10"/>
  <c r="D73" i="10"/>
  <c r="P151" i="10"/>
  <c r="P99" i="10"/>
  <c r="D66" i="10"/>
  <c r="P144" i="10"/>
  <c r="P40" i="10"/>
  <c r="P92" i="10"/>
  <c r="D79" i="10"/>
  <c r="P157" i="10"/>
  <c r="P105" i="10"/>
  <c r="D80" i="10"/>
  <c r="P158" i="10"/>
  <c r="P106" i="10"/>
  <c r="D76" i="10"/>
  <c r="P154" i="10"/>
  <c r="P102" i="10"/>
  <c r="D69" i="10"/>
  <c r="P147" i="10"/>
  <c r="X50" i="10"/>
  <c r="P95" i="10"/>
  <c r="P43" i="10"/>
  <c r="D65" i="10"/>
  <c r="P143" i="10"/>
  <c r="P39" i="10"/>
  <c r="P91" i="10"/>
  <c r="D75" i="10"/>
  <c r="P153" i="10"/>
  <c r="P101" i="10"/>
  <c r="D68" i="10"/>
  <c r="P146" i="10"/>
  <c r="P42" i="10"/>
  <c r="P94" i="10"/>
  <c r="D64" i="10"/>
  <c r="P142" i="10"/>
  <c r="P38" i="10"/>
  <c r="P90" i="10"/>
  <c r="L61" i="7"/>
  <c r="M61" i="7" s="1"/>
  <c r="M63" i="7"/>
  <c r="F61" i="7"/>
  <c r="F63" i="7"/>
  <c r="L41" i="7"/>
  <c r="M41" i="7" s="1"/>
  <c r="M43" i="7"/>
  <c r="F41" i="7"/>
  <c r="F43" i="7"/>
  <c r="D42" i="10"/>
  <c r="L41" i="10"/>
  <c r="H41" i="10"/>
  <c r="J41" i="10"/>
  <c r="F41" i="10"/>
  <c r="D43" i="10"/>
  <c r="J38" i="10"/>
  <c r="F38" i="10"/>
  <c r="H38" i="10"/>
  <c r="L38" i="10"/>
  <c r="H42" i="10"/>
  <c r="F42" i="10"/>
  <c r="L42" i="10"/>
  <c r="J42" i="10"/>
  <c r="H37" i="10"/>
  <c r="L37" i="10"/>
  <c r="F37" i="10"/>
  <c r="H44" i="10"/>
  <c r="L44" i="10"/>
  <c r="F44" i="10"/>
  <c r="J44" i="10"/>
  <c r="D40" i="10"/>
  <c r="J39" i="10"/>
  <c r="L39" i="10"/>
  <c r="F39" i="10"/>
  <c r="H39" i="10"/>
  <c r="F43" i="10"/>
  <c r="J43" i="10"/>
  <c r="H43" i="10"/>
  <c r="L43" i="10"/>
  <c r="D38" i="10"/>
  <c r="S7" i="10"/>
  <c r="D37" i="10"/>
  <c r="D41" i="10"/>
  <c r="D44" i="10"/>
  <c r="H36" i="10"/>
  <c r="J36" i="10"/>
  <c r="L36" i="10"/>
  <c r="F36" i="10"/>
  <c r="L40" i="10"/>
  <c r="F40" i="10"/>
  <c r="J40" i="10"/>
  <c r="H40" i="10"/>
  <c r="F62" i="7"/>
  <c r="W48" i="10"/>
  <c r="E42" i="7" s="1"/>
  <c r="M62" i="7"/>
  <c r="AA48" i="10"/>
  <c r="D20" i="7"/>
  <c r="V35" i="10"/>
  <c r="Z35" i="10"/>
  <c r="X44" i="10" l="1"/>
  <c r="X45" i="10"/>
  <c r="G39" i="7" s="1"/>
  <c r="I39" i="7" s="1"/>
  <c r="X49" i="10"/>
  <c r="G43" i="7" s="1"/>
  <c r="I43" i="7" s="1"/>
  <c r="X48" i="10"/>
  <c r="G42" i="7" s="1"/>
  <c r="X46" i="10"/>
  <c r="G40" i="7" s="1"/>
  <c r="I40" i="7" s="1"/>
  <c r="X47" i="10"/>
  <c r="G41" i="7" s="1"/>
  <c r="I41" i="7" s="1"/>
  <c r="AB75" i="10"/>
  <c r="N94" i="7" s="1"/>
  <c r="AB87" i="10"/>
  <c r="N114" i="7" s="1"/>
  <c r="AB74" i="10"/>
  <c r="N93" i="7" s="1"/>
  <c r="X87" i="10"/>
  <c r="G114" i="7" s="1"/>
  <c r="I114" i="7" s="1"/>
  <c r="AB79" i="10"/>
  <c r="N98" i="7" s="1"/>
  <c r="AB44" i="10"/>
  <c r="N38" i="7" s="1"/>
  <c r="AB76" i="10"/>
  <c r="N95" i="7" s="1"/>
  <c r="X90" i="10"/>
  <c r="G117" i="7" s="1"/>
  <c r="I117" i="7" s="1"/>
  <c r="X94" i="10"/>
  <c r="G129" i="7" s="1"/>
  <c r="I129" i="7" s="1"/>
  <c r="X74" i="10"/>
  <c r="G93" i="7" s="1"/>
  <c r="I93" i="7" s="1"/>
  <c r="G38" i="7"/>
  <c r="I38" i="7" s="1"/>
  <c r="AB35" i="10"/>
  <c r="AB94" i="10"/>
  <c r="N129" i="7" s="1"/>
  <c r="AB95" i="10"/>
  <c r="N130" i="7" s="1"/>
  <c r="X89" i="10"/>
  <c r="G116" i="7" s="1"/>
  <c r="I116" i="7" s="1"/>
  <c r="AB78" i="10"/>
  <c r="N97" i="7" s="1"/>
  <c r="AB77" i="10"/>
  <c r="N96" i="7" s="1"/>
  <c r="N39" i="7"/>
  <c r="X68" i="10"/>
  <c r="G80" i="7" s="1"/>
  <c r="AB70" i="10"/>
  <c r="N82" i="7" s="1"/>
  <c r="X58" i="10"/>
  <c r="G62" i="7" s="1"/>
  <c r="I62" i="7" s="1"/>
  <c r="X70" i="10"/>
  <c r="G82" i="7" s="1"/>
  <c r="X59" i="10"/>
  <c r="G63" i="7" s="1"/>
  <c r="I63" i="7" s="1"/>
  <c r="AB50" i="10"/>
  <c r="N44" i="7" s="1"/>
  <c r="X67" i="10"/>
  <c r="G79" i="7" s="1"/>
  <c r="AB67" i="10"/>
  <c r="N79" i="7" s="1"/>
  <c r="AB58" i="10"/>
  <c r="N62" i="7" s="1"/>
  <c r="X57" i="10"/>
  <c r="G61" i="7" s="1"/>
  <c r="I61" i="7" s="1"/>
  <c r="AB84" i="10"/>
  <c r="N111" i="7" s="1"/>
  <c r="X86" i="10"/>
  <c r="G113" i="7" s="1"/>
  <c r="I113" i="7" s="1"/>
  <c r="AB86" i="10"/>
  <c r="N113" i="7" s="1"/>
  <c r="X85" i="10"/>
  <c r="G112" i="7" s="1"/>
  <c r="I112" i="7" s="1"/>
  <c r="X88" i="10"/>
  <c r="G115" i="7" s="1"/>
  <c r="I115" i="7" s="1"/>
  <c r="X60" i="10"/>
  <c r="G64" i="7" s="1"/>
  <c r="I64" i="7" s="1"/>
  <c r="AB59" i="10"/>
  <c r="N63" i="7" s="1"/>
  <c r="X56" i="10"/>
  <c r="G60" i="7" s="1"/>
  <c r="I60" i="7" s="1"/>
  <c r="X78" i="10"/>
  <c r="G97" i="7" s="1"/>
  <c r="X79" i="10"/>
  <c r="G98" i="7" s="1"/>
  <c r="AB64" i="10"/>
  <c r="N76" i="7" s="1"/>
  <c r="AB65" i="10"/>
  <c r="N77" i="7" s="1"/>
  <c r="X65" i="10"/>
  <c r="G77" i="7" s="1"/>
  <c r="X64" i="10"/>
  <c r="G76" i="7" s="1"/>
  <c r="X69" i="10"/>
  <c r="G81" i="7" s="1"/>
  <c r="X66" i="10"/>
  <c r="G78" i="7" s="1"/>
  <c r="AB68" i="10"/>
  <c r="N80" i="7" s="1"/>
  <c r="AB69" i="10"/>
  <c r="N81" i="7" s="1"/>
  <c r="AB66" i="10"/>
  <c r="N78" i="7" s="1"/>
  <c r="AB80" i="10"/>
  <c r="N99" i="7" s="1"/>
  <c r="X80" i="10"/>
  <c r="G99" i="7" s="1"/>
  <c r="AB89" i="10"/>
  <c r="N116" i="7" s="1"/>
  <c r="AB90" i="10"/>
  <c r="N117" i="7" s="1"/>
  <c r="AB88" i="10"/>
  <c r="N115" i="7" s="1"/>
  <c r="G44" i="7"/>
  <c r="AB49" i="10"/>
  <c r="N43" i="7" s="1"/>
  <c r="X84" i="10"/>
  <c r="G111" i="7" s="1"/>
  <c r="X95" i="10"/>
  <c r="G130" i="7" s="1"/>
  <c r="I130" i="7" s="1"/>
  <c r="X77" i="10"/>
  <c r="G96" i="7" s="1"/>
  <c r="AB57" i="10"/>
  <c r="N61" i="7" s="1"/>
  <c r="X99" i="10"/>
  <c r="G134" i="7" s="1"/>
  <c r="I134" i="7" s="1"/>
  <c r="AB99" i="10"/>
  <c r="N134" i="7" s="1"/>
  <c r="AB34" i="10"/>
  <c r="X96" i="10"/>
  <c r="G131" i="7" s="1"/>
  <c r="I131" i="7" s="1"/>
  <c r="AB96" i="10"/>
  <c r="N131" i="7" s="1"/>
  <c r="X98" i="10"/>
  <c r="G133" i="7" s="1"/>
  <c r="I133" i="7" s="1"/>
  <c r="AB98" i="10"/>
  <c r="N133" i="7" s="1"/>
  <c r="X76" i="10"/>
  <c r="G95" i="7" s="1"/>
  <c r="AB56" i="10"/>
  <c r="N60" i="7" s="1"/>
  <c r="X100" i="10"/>
  <c r="G135" i="7" s="1"/>
  <c r="I135" i="7" s="1"/>
  <c r="AB100" i="10"/>
  <c r="N135" i="7" s="1"/>
  <c r="AB60" i="10"/>
  <c r="N64" i="7" s="1"/>
  <c r="X97" i="10"/>
  <c r="G132" i="7" s="1"/>
  <c r="I132" i="7" s="1"/>
  <c r="AB97" i="10"/>
  <c r="N132" i="7" s="1"/>
  <c r="AB85" i="10"/>
  <c r="N112" i="7" s="1"/>
  <c r="M65" i="7"/>
  <c r="F65" i="7"/>
  <c r="F42" i="7"/>
  <c r="F44" i="7"/>
  <c r="L42" i="7"/>
  <c r="M42" i="7" s="1"/>
  <c r="M44" i="7"/>
  <c r="X35" i="10"/>
  <c r="AB47" i="10"/>
  <c r="AB46" i="10"/>
  <c r="N40" i="7" s="1"/>
  <c r="AB48" i="10"/>
  <c r="X34" i="10"/>
  <c r="AA35" i="10"/>
  <c r="M94" i="7" s="1"/>
  <c r="W35" i="10"/>
  <c r="E19" i="7" s="1"/>
  <c r="K21" i="7"/>
  <c r="Z36" i="10"/>
  <c r="D21" i="7"/>
  <c r="V36" i="10"/>
  <c r="W36" i="10" s="1"/>
  <c r="E20" i="7" s="1"/>
  <c r="F94" i="7" l="1"/>
  <c r="I94" i="7" s="1"/>
  <c r="G65" i="7"/>
  <c r="N83" i="7"/>
  <c r="G100" i="7"/>
  <c r="N118" i="7"/>
  <c r="G118" i="7"/>
  <c r="I111" i="7"/>
  <c r="I118" i="7" s="1"/>
  <c r="I136" i="7"/>
  <c r="G136" i="7"/>
  <c r="N65" i="7"/>
  <c r="N136" i="7"/>
  <c r="G83" i="7"/>
  <c r="I76" i="7"/>
  <c r="F45" i="7"/>
  <c r="G45" i="7"/>
  <c r="I65" i="7"/>
  <c r="M45" i="7"/>
  <c r="M71" i="7"/>
  <c r="I42" i="7"/>
  <c r="N42" i="7"/>
  <c r="N41" i="7"/>
  <c r="I44" i="7"/>
  <c r="F77" i="7"/>
  <c r="L19" i="7"/>
  <c r="M77" i="7"/>
  <c r="N18" i="7"/>
  <c r="AB36" i="10"/>
  <c r="AA36" i="10"/>
  <c r="M95" i="7" s="1"/>
  <c r="X36" i="10"/>
  <c r="N19" i="7"/>
  <c r="D22" i="7"/>
  <c r="V37" i="10"/>
  <c r="X37" i="10" s="1"/>
  <c r="K22" i="7"/>
  <c r="K23" i="7" s="1"/>
  <c r="Z37" i="10"/>
  <c r="AA37" i="10" s="1"/>
  <c r="N71" i="7" l="1"/>
  <c r="M51" i="7"/>
  <c r="I45" i="7"/>
  <c r="N45" i="7"/>
  <c r="N51" i="7" s="1"/>
  <c r="M81" i="7"/>
  <c r="M98" i="7"/>
  <c r="Z39" i="10"/>
  <c r="K24" i="7"/>
  <c r="Z40" i="10" s="1"/>
  <c r="M96" i="7"/>
  <c r="V38" i="10"/>
  <c r="X38" i="10" s="1"/>
  <c r="G22" i="7" s="1"/>
  <c r="D23" i="7"/>
  <c r="F78" i="7"/>
  <c r="I78" i="7" s="1"/>
  <c r="F95" i="7"/>
  <c r="I95" i="7" s="1"/>
  <c r="I77" i="7"/>
  <c r="L20" i="7"/>
  <c r="M78" i="7"/>
  <c r="L21" i="7"/>
  <c r="M79" i="7"/>
  <c r="AB37" i="10"/>
  <c r="W37" i="10"/>
  <c r="E21" i="7" s="1"/>
  <c r="Z38" i="10"/>
  <c r="N20" i="7"/>
  <c r="G18" i="7"/>
  <c r="AB40" i="10" l="1"/>
  <c r="N24" i="7" s="1"/>
  <c r="AA40" i="10"/>
  <c r="L24" i="7" s="1"/>
  <c r="AA39" i="10"/>
  <c r="L23" i="7" s="1"/>
  <c r="M23" i="7" s="1"/>
  <c r="AB39" i="10"/>
  <c r="N23" i="7" s="1"/>
  <c r="F81" i="7"/>
  <c r="I81" i="7" s="1"/>
  <c r="F98" i="7"/>
  <c r="I98" i="7" s="1"/>
  <c r="V39" i="10"/>
  <c r="V40" i="10"/>
  <c r="W38" i="10"/>
  <c r="E22" i="7" s="1"/>
  <c r="D24" i="7"/>
  <c r="F79" i="7"/>
  <c r="I79" i="7" s="1"/>
  <c r="F96" i="7"/>
  <c r="I96" i="7" s="1"/>
  <c r="AB38" i="10"/>
  <c r="AA38" i="10"/>
  <c r="M99" i="7" s="1"/>
  <c r="N21" i="7"/>
  <c r="G19" i="7"/>
  <c r="X39" i="10" l="1"/>
  <c r="G23" i="7" s="1"/>
  <c r="W39" i="10"/>
  <c r="E23" i="7" s="1"/>
  <c r="W40" i="10"/>
  <c r="E24" i="7" s="1"/>
  <c r="X40" i="10"/>
  <c r="G24" i="7" s="1"/>
  <c r="F82" i="7"/>
  <c r="I82" i="7" s="1"/>
  <c r="F99" i="7"/>
  <c r="L22" i="7"/>
  <c r="M82" i="7"/>
  <c r="N100" i="7"/>
  <c r="M97" i="7"/>
  <c r="M100" i="7" s="1"/>
  <c r="M24" i="7"/>
  <c r="F97" i="7"/>
  <c r="I97" i="7" s="1"/>
  <c r="F80" i="7"/>
  <c r="M80" i="7"/>
  <c r="N22" i="7"/>
  <c r="N25" i="7" s="1"/>
  <c r="N106" i="7"/>
  <c r="H15" i="9"/>
  <c r="G20" i="7"/>
  <c r="F24" i="7" l="1"/>
  <c r="I24" i="7" s="1"/>
  <c r="F23" i="7"/>
  <c r="I23" i="7" s="1"/>
  <c r="M83" i="7"/>
  <c r="I80" i="7"/>
  <c r="I83" i="7" s="1"/>
  <c r="F83" i="7"/>
  <c r="I99" i="7"/>
  <c r="I100" i="7" s="1"/>
  <c r="F100" i="7"/>
  <c r="G21" i="7"/>
  <c r="M18" i="7"/>
  <c r="F18" i="7"/>
  <c r="M106" i="7" l="1"/>
  <c r="I18" i="7"/>
  <c r="G25" i="7"/>
  <c r="F19" i="7"/>
  <c r="I19" i="7" s="1"/>
  <c r="M19" i="7"/>
  <c r="N31" i="7" l="1"/>
  <c r="F20" i="7"/>
  <c r="I20" i="7" s="1"/>
  <c r="M20" i="7"/>
  <c r="F21" i="7" l="1"/>
  <c r="I21" i="7" s="1"/>
  <c r="M21" i="7"/>
  <c r="F22" i="7"/>
  <c r="I22" i="7" s="1"/>
  <c r="I25" i="7" l="1"/>
  <c r="F25" i="7"/>
  <c r="M22" i="7"/>
  <c r="M25" i="7" s="1"/>
  <c r="M31" i="7" l="1"/>
  <c r="H14" i="9" l="1"/>
  <c r="H16" i="9" s="1"/>
  <c r="H19" i="9" l="1"/>
  <c r="C72" i="13"/>
  <c r="C71" i="13"/>
  <c r="AU65" i="10" l="1"/>
  <c r="AV65" i="10" s="1"/>
  <c r="AU63" i="10"/>
  <c r="AV63" i="10" s="1"/>
  <c r="AU62" i="10"/>
  <c r="AV62" i="10" s="1"/>
  <c r="AW62" i="10" s="1"/>
  <c r="AU61" i="10"/>
  <c r="AV61" i="10" s="1"/>
  <c r="AW61" i="10" s="1"/>
  <c r="AU60" i="10"/>
  <c r="AV60" i="10" s="1"/>
  <c r="AU59" i="10"/>
  <c r="AU64" i="10"/>
  <c r="AV64" i="10" s="1"/>
  <c r="AW64" i="10" s="1"/>
  <c r="K10" i="7"/>
  <c r="O76" i="7"/>
  <c r="O129" i="7"/>
  <c r="O38" i="7"/>
  <c r="O18" i="7"/>
  <c r="O111" i="7" l="1"/>
  <c r="P111" i="7" s="1"/>
  <c r="O93" i="7"/>
  <c r="P93" i="7" s="1"/>
  <c r="O58" i="7"/>
  <c r="P58" i="7" s="1"/>
  <c r="P18" i="7"/>
  <c r="R18" i="7" s="1"/>
  <c r="O94" i="7"/>
  <c r="P129" i="7"/>
  <c r="AW65" i="10"/>
  <c r="O130" i="7"/>
  <c r="P130" i="7" s="1"/>
  <c r="R130" i="7" s="1"/>
  <c r="O112" i="7"/>
  <c r="P112" i="7" s="1"/>
  <c r="R112" i="7" s="1"/>
  <c r="O19" i="7"/>
  <c r="P19" i="7" s="1"/>
  <c r="R19" i="7" s="1"/>
  <c r="O39" i="7"/>
  <c r="P39" i="7" s="1"/>
  <c r="P76" i="7"/>
  <c r="O77" i="7"/>
  <c r="O59" i="7"/>
  <c r="P38" i="7"/>
  <c r="R38" i="7" s="1"/>
  <c r="AX62" i="10"/>
  <c r="AX64" i="10"/>
  <c r="AW63" i="10"/>
  <c r="R111" i="7" l="1"/>
  <c r="R129" i="7"/>
  <c r="AX65" i="10"/>
  <c r="O113" i="7"/>
  <c r="P113" i="7" s="1"/>
  <c r="R113" i="7" s="1"/>
  <c r="O131" i="7"/>
  <c r="P131" i="7" s="1"/>
  <c r="R131" i="7" s="1"/>
  <c r="O40" i="7"/>
  <c r="P40" i="7" s="1"/>
  <c r="R40" i="7" s="1"/>
  <c r="O95" i="7"/>
  <c r="P95" i="7" s="1"/>
  <c r="R95" i="7" s="1"/>
  <c r="O20" i="7"/>
  <c r="P20" i="7" s="1"/>
  <c r="O60" i="7"/>
  <c r="P60" i="7" s="1"/>
  <c r="R60" i="7" s="1"/>
  <c r="O78" i="7"/>
  <c r="P78" i="7" s="1"/>
  <c r="R78" i="7" s="1"/>
  <c r="R76" i="7"/>
  <c r="R93" i="7"/>
  <c r="R58" i="7"/>
  <c r="AY64" i="10"/>
  <c r="R39" i="7"/>
  <c r="P77" i="7"/>
  <c r="P94" i="7"/>
  <c r="P59" i="7"/>
  <c r="AX63" i="10"/>
  <c r="AY65" i="10" l="1"/>
  <c r="O114" i="7"/>
  <c r="P114" i="7" s="1"/>
  <c r="R114" i="7" s="1"/>
  <c r="O132" i="7"/>
  <c r="P132" i="7" s="1"/>
  <c r="R132" i="7" s="1"/>
  <c r="O41" i="7"/>
  <c r="P41" i="7" s="1"/>
  <c r="O96" i="7"/>
  <c r="P96" i="7" s="1"/>
  <c r="R96" i="7" s="1"/>
  <c r="O21" i="7"/>
  <c r="P21" i="7" s="1"/>
  <c r="R21" i="7" s="1"/>
  <c r="O79" i="7"/>
  <c r="O61" i="7"/>
  <c r="P61" i="7" s="1"/>
  <c r="R61" i="7" s="1"/>
  <c r="R20" i="7"/>
  <c r="AZ64" i="10"/>
  <c r="R94" i="7"/>
  <c r="R59" i="7"/>
  <c r="R77" i="7"/>
  <c r="AY63" i="10"/>
  <c r="O97" i="7" s="1"/>
  <c r="AZ65" i="10" l="1"/>
  <c r="O23" i="7" s="1"/>
  <c r="P23" i="7" s="1"/>
  <c r="R23" i="7" s="1"/>
  <c r="O115" i="7"/>
  <c r="P115" i="7" s="1"/>
  <c r="R115" i="7" s="1"/>
  <c r="O133" i="7"/>
  <c r="O62" i="7"/>
  <c r="O80" i="7"/>
  <c r="O42" i="7"/>
  <c r="P79" i="7"/>
  <c r="R79" i="7" s="1"/>
  <c r="O22" i="7"/>
  <c r="P22" i="7" s="1"/>
  <c r="R41" i="7"/>
  <c r="O63" i="7" l="1"/>
  <c r="P63" i="7" s="1"/>
  <c r="R63" i="7" s="1"/>
  <c r="O43" i="7"/>
  <c r="P43" i="7" s="1"/>
  <c r="R43" i="7" s="1"/>
  <c r="O81" i="7"/>
  <c r="P81" i="7" s="1"/>
  <c r="R81" i="7" s="1"/>
  <c r="P133" i="7"/>
  <c r="BA65" i="10"/>
  <c r="O134" i="7"/>
  <c r="P134" i="7" s="1"/>
  <c r="R134" i="7" s="1"/>
  <c r="O116" i="7"/>
  <c r="O98" i="7"/>
  <c r="P98" i="7" s="1"/>
  <c r="R98" i="7" s="1"/>
  <c r="P80" i="7"/>
  <c r="R80" i="7" s="1"/>
  <c r="P97" i="7"/>
  <c r="R97" i="7" s="1"/>
  <c r="P62" i="7"/>
  <c r="R62" i="7" s="1"/>
  <c r="P42" i="7"/>
  <c r="R42" i="7" s="1"/>
  <c r="R22" i="7"/>
  <c r="O117" i="7" l="1"/>
  <c r="P117" i="7" s="1"/>
  <c r="R117" i="7" s="1"/>
  <c r="O135" i="7"/>
  <c r="P135" i="7" s="1"/>
  <c r="R135" i="7" s="1"/>
  <c r="O99" i="7"/>
  <c r="O82" i="7"/>
  <c r="O64" i="7"/>
  <c r="O24" i="7"/>
  <c r="O25" i="7" s="1"/>
  <c r="O44" i="7"/>
  <c r="P116" i="7"/>
  <c r="R133" i="7"/>
  <c r="P136" i="7" l="1"/>
  <c r="R136" i="7"/>
  <c r="N139" i="7" s="1"/>
  <c r="R116" i="7"/>
  <c r="R118" i="7" s="1"/>
  <c r="N121" i="7" s="1"/>
  <c r="P118" i="7"/>
  <c r="P82" i="7"/>
  <c r="O83" i="7"/>
  <c r="P44" i="7"/>
  <c r="O45" i="7"/>
  <c r="P99" i="7"/>
  <c r="O100" i="7"/>
  <c r="P64" i="7"/>
  <c r="O65" i="7"/>
  <c r="O118" i="7"/>
  <c r="P24" i="7"/>
  <c r="P25" i="7" s="1"/>
  <c r="O136" i="7"/>
  <c r="R82" i="7" l="1"/>
  <c r="R83" i="7" s="1"/>
  <c r="N86" i="7" s="1"/>
  <c r="P83" i="7"/>
  <c r="R99" i="7"/>
  <c r="R100" i="7" s="1"/>
  <c r="N103" i="7" s="1"/>
  <c r="P100" i="7"/>
  <c r="R64" i="7"/>
  <c r="R65" i="7" s="1"/>
  <c r="N68" i="7" s="1"/>
  <c r="P65" i="7"/>
  <c r="R44" i="7"/>
  <c r="R45" i="7" s="1"/>
  <c r="N48" i="7" s="1"/>
  <c r="P45" i="7"/>
  <c r="R24" i="7"/>
  <c r="R25" i="7" s="1"/>
  <c r="P51" i="7" l="1"/>
  <c r="O51" i="7"/>
  <c r="O31" i="7"/>
  <c r="P31" i="7"/>
  <c r="P71" i="7"/>
  <c r="O71" i="7"/>
  <c r="P106" i="7"/>
  <c r="O106" i="7"/>
  <c r="T172" i="7"/>
  <c r="N28" i="7"/>
</calcChain>
</file>

<file path=xl/sharedStrings.xml><?xml version="1.0" encoding="utf-8"?>
<sst xmlns="http://schemas.openxmlformats.org/spreadsheetml/2006/main" count="515" uniqueCount="91">
  <si>
    <t>Year 1</t>
  </si>
  <si>
    <t>Year 2</t>
  </si>
  <si>
    <t>Year 3</t>
  </si>
  <si>
    <t>Year 4</t>
  </si>
  <si>
    <t>Year 5</t>
  </si>
  <si>
    <t>Total</t>
  </si>
  <si>
    <t>Team</t>
  </si>
  <si>
    <t>LOS</t>
  </si>
  <si>
    <t>$</t>
  </si>
  <si>
    <t>Increase / (Decrease)</t>
  </si>
  <si>
    <t>Team % if 'Yes'</t>
  </si>
  <si>
    <t>Length of Service (whole years)</t>
  </si>
  <si>
    <t>Receiving FA T12 Production</t>
  </si>
  <si>
    <t>Years</t>
  </si>
  <si>
    <t>Split share must equal 100%</t>
  </si>
  <si>
    <t>Name</t>
  </si>
  <si>
    <t>Year 6</t>
  </si>
  <si>
    <t>Year 7</t>
  </si>
  <si>
    <t>7-Year Total</t>
  </si>
  <si>
    <t>$2,000,000-$3,499,999</t>
  </si>
  <si>
    <t>$3,500,000-$4,999,999</t>
  </si>
  <si>
    <t>&gt; $5,000,000</t>
  </si>
  <si>
    <t>x</t>
  </si>
  <si>
    <t>RFA1</t>
  </si>
  <si>
    <t>RFA2</t>
  </si>
  <si>
    <t>RFA3</t>
  </si>
  <si>
    <t>RFA4</t>
  </si>
  <si>
    <t>RFA5</t>
  </si>
  <si>
    <t>RFA6</t>
  </si>
  <si>
    <t>RFA7</t>
  </si>
  <si>
    <t>$660k-$1999k</t>
  </si>
  <si>
    <t>&lt;$659k</t>
  </si>
  <si>
    <t>** Only adjust the cells highlighted Yellow</t>
  </si>
  <si>
    <t>PG</t>
  </si>
  <si>
    <t>$$$</t>
  </si>
  <si>
    <t>16-20</t>
  </si>
  <si>
    <t>21+</t>
  </si>
  <si>
    <t>MG</t>
  </si>
  <si>
    <t>GP</t>
  </si>
  <si>
    <t>%</t>
  </si>
  <si>
    <t>C</t>
  </si>
  <si>
    <t>B</t>
  </si>
  <si>
    <t>BV</t>
  </si>
  <si>
    <t>S</t>
  </si>
  <si>
    <t>Details</t>
  </si>
  <si>
    <t>D-Info</t>
  </si>
  <si>
    <t>R-Inputs</t>
  </si>
  <si>
    <t>D-Inputs</t>
  </si>
  <si>
    <t>6-10</t>
  </si>
  <si>
    <t>11-15</t>
  </si>
  <si>
    <t>CB</t>
  </si>
  <si>
    <t>CR</t>
  </si>
  <si>
    <t>PB</t>
  </si>
  <si>
    <t>M</t>
  </si>
  <si>
    <t>MT</t>
  </si>
  <si>
    <t>Min LOS</t>
  </si>
  <si>
    <t>Stream</t>
  </si>
  <si>
    <t>Y</t>
  </si>
  <si>
    <t>P</t>
  </si>
  <si>
    <t xml:space="preserve"> The below inputs adjust the assumptions made on the Receiving tab</t>
  </si>
  <si>
    <t>Growth</t>
  </si>
  <si>
    <t>Price</t>
  </si>
  <si>
    <t>V</t>
  </si>
  <si>
    <t>Adjusted</t>
  </si>
  <si>
    <t>Yes</t>
  </si>
  <si>
    <t>1-7</t>
  </si>
  <si>
    <t>R-1</t>
  </si>
  <si>
    <t>R-3</t>
  </si>
  <si>
    <t>R-4</t>
  </si>
  <si>
    <t>R-5</t>
  </si>
  <si>
    <t>R-6</t>
  </si>
  <si>
    <t>R-7</t>
  </si>
  <si>
    <t>FE</t>
  </si>
  <si>
    <t>R</t>
  </si>
  <si>
    <t>D-$$$</t>
  </si>
  <si>
    <t>R-Combined $$$</t>
  </si>
  <si>
    <t>R1-$$$</t>
  </si>
  <si>
    <t>GR</t>
  </si>
  <si>
    <t>CP</t>
  </si>
  <si>
    <t>Trans</t>
  </si>
  <si>
    <t>R2-$$$</t>
  </si>
  <si>
    <t>R3-$$$</t>
  </si>
  <si>
    <t>R4-$$$</t>
  </si>
  <si>
    <t>R5-$$$</t>
  </si>
  <si>
    <t>R6-$$$</t>
  </si>
  <si>
    <t>R7-$$$</t>
  </si>
  <si>
    <t>BD</t>
  </si>
  <si>
    <t>D-Info (* These inputs are coming from flow)</t>
  </si>
  <si>
    <t>(* These inputs are coming from flow)</t>
  </si>
  <si>
    <t>Test Upload Value</t>
  </si>
  <si>
    <t>File Update 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</si>
</sst>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44" formatCode="_(&quot;$&quot;* #,##0.00_);_(&quot;$&quot;* \(#,##0.00\);_(&quot;$&quot;* &quot;-&quot;??_);_(@_)"/>
    <numFmt numFmtId="164" formatCode="_(* #,##0_);_(* \(#,##0\);_(* &quot;-&quot;??_);_(@_)"/>
    <numFmt numFmtId="165" formatCode="[$-409]mmmm\ d\,\ yyyy;@"/>
    <numFmt numFmtId="166" formatCode="0.0%"/>
    <numFmt numFmtId="167" formatCode="_(* #,##0.0_);_(* \(#,##0.0\);_(* &quot;-&quot;??_);_(@_)"/>
    <numFmt numFmtId="168" formatCode="_(&quot;$&quot;* #,##0_);_(&quot;$&quot;* \(#,##0\);_(&quot;$&quot;* &quot;-&quot;??_);_(@_)"/>
  </numFmts>
  <fonts count="47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i/>
      <sz val="10"/>
      <color theme="0"/>
      <name val="Arial"/>
      <family val="2"/>
    </font>
    <font>
      <b/>
      <sz val="10"/>
      <name val="Times New Roman"/>
      <family val="1"/>
    </font>
    <font>
      <b/>
      <i/>
      <sz val="12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name val="Arial"/>
      <family val="1"/>
      <scheme val="major"/>
    </font>
    <font>
      <sz val="10"/>
      <name val="Arial"/>
      <family val="1"/>
      <scheme val="major"/>
    </font>
    <font>
      <b/>
      <sz val="16"/>
      <name val="Arial"/>
      <family val="1"/>
      <scheme val="major"/>
    </font>
    <font>
      <b/>
      <sz val="12"/>
      <name val="Arial"/>
      <family val="1"/>
      <scheme val="major"/>
    </font>
    <font>
      <b/>
      <i/>
      <sz val="12"/>
      <name val="Arial"/>
      <family val="1"/>
      <scheme val="major"/>
    </font>
    <font>
      <i/>
      <sz val="12"/>
      <name val="Arial"/>
      <family val="1"/>
      <scheme val="major"/>
    </font>
    <font>
      <sz val="12"/>
      <name val="Arial"/>
      <family val="1"/>
      <scheme val="major"/>
    </font>
    <font>
      <b/>
      <sz val="14"/>
      <name val="Arial"/>
      <family val="1"/>
      <scheme val="maj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i/>
      <sz val="12"/>
      <name val="Arial"/>
      <family val="2"/>
    </font>
    <font>
      <i/>
      <sz val="12"/>
      <name val="Arial"/>
      <family val="2"/>
    </font>
    <font>
      <sz val="12"/>
      <name val="Arial"/>
      <family val="2"/>
    </font>
    <font>
      <b/>
      <sz val="16"/>
      <name val="Arial"/>
      <family val="2"/>
      <scheme val="major"/>
    </font>
    <font>
      <sz val="10"/>
      <name val="Arial"/>
      <family val="2"/>
      <scheme val="major"/>
    </font>
    <font>
      <b/>
      <sz val="12"/>
      <name val="Arial"/>
      <family val="2"/>
      <scheme val="major"/>
    </font>
    <font>
      <b/>
      <i/>
      <sz val="12"/>
      <name val="Arial"/>
      <family val="2"/>
      <scheme val="major"/>
    </font>
    <font>
      <i/>
      <sz val="12"/>
      <name val="Arial"/>
      <family val="2"/>
      <scheme val="major"/>
    </font>
    <font>
      <sz val="12"/>
      <name val="Arial"/>
      <family val="2"/>
      <scheme val="major"/>
    </font>
    <font>
      <i/>
      <sz val="11"/>
      <name val="Arial"/>
      <family val="2"/>
      <scheme val="major"/>
    </font>
    <font>
      <b/>
      <sz val="10"/>
      <color theme="1"/>
      <name val="Arial"/>
      <family val="2"/>
    </font>
    <font>
      <b/>
      <sz val="10"/>
      <color theme="2"/>
      <name val="Arial"/>
      <family val="2"/>
      <scheme val="major"/>
    </font>
    <font>
      <u/>
      <sz val="10"/>
      <color theme="10"/>
      <name val="Arial"/>
      <family val="2"/>
    </font>
    <font>
      <sz val="18"/>
      <color rgb="FF00B050"/>
      <name val="Arial"/>
      <family val="2"/>
    </font>
    <font>
      <i/>
      <sz val="12"/>
      <color theme="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theme="0"/>
      <name val="Arial"/>
      <family val="2"/>
      <scheme val="major"/>
    </font>
    <font>
      <b/>
      <sz val="12"/>
      <color theme="0"/>
      <name val="Arial"/>
      <family val="2"/>
    </font>
    <font>
      <b/>
      <i/>
      <sz val="12"/>
      <color theme="0"/>
      <name val="Arial"/>
      <family val="1"/>
      <scheme val="major"/>
    </font>
    <font>
      <i/>
      <sz val="12"/>
      <color theme="0"/>
      <name val="Arial"/>
      <family val="1"/>
      <scheme val="major"/>
    </font>
    <font>
      <sz val="10"/>
      <color theme="0"/>
      <name val="Arial"/>
      <family val="1"/>
      <scheme val="major"/>
    </font>
    <font>
      <b/>
      <i/>
      <sz val="11"/>
      <color rgb="FF004EA8"/>
      <name val="Arial"/>
      <family val="2"/>
    </font>
    <font>
      <b/>
      <i/>
      <sz val="10"/>
      <color rgb="FF004EA8"/>
      <name val="Arial"/>
      <family val="2"/>
    </font>
    <font>
      <b/>
      <i/>
      <sz val="11"/>
      <color rgb="FF004EA8"/>
      <name val="Arial"/>
      <family val="2"/>
      <scheme val="maj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54B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306A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2C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dotted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5" fillId="0" borderId="0"/>
    <xf numFmtId="0" fontId="4" fillId="0" borderId="0"/>
    <xf numFmtId="0" fontId="4" fillId="0" borderId="0"/>
    <xf numFmtId="0" fontId="5" fillId="0" borderId="0"/>
    <xf numFmtId="43" fontId="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214">
    <xf numFmtId="0" fontId="0" fillId="0" borderId="0" xfId="0"/>
    <xf numFmtId="0" fontId="2" fillId="3" borderId="0" xfId="0" applyFont="1" applyFill="1" applyAlignment="1">
      <alignment horizontal="center" wrapText="1"/>
    </xf>
    <xf numFmtId="0" fontId="0" fillId="2" borderId="0" xfId="0" applyFill="1"/>
    <xf numFmtId="0" fontId="6" fillId="5" borderId="2" xfId="0" applyFont="1" applyFill="1" applyBorder="1"/>
    <xf numFmtId="0" fontId="6" fillId="5" borderId="8" xfId="0" quotePrefix="1" applyFont="1" applyFill="1" applyBorder="1" applyAlignment="1">
      <alignment horizontal="center"/>
    </xf>
    <xf numFmtId="0" fontId="4" fillId="4" borderId="6" xfId="6" applyFill="1" applyBorder="1" applyAlignment="1">
      <alignment horizontal="center"/>
    </xf>
    <xf numFmtId="0" fontId="4" fillId="4" borderId="7" xfId="6" applyFill="1" applyBorder="1" applyAlignment="1">
      <alignment horizontal="center"/>
    </xf>
    <xf numFmtId="166" fontId="4" fillId="0" borderId="7" xfId="6" applyNumberFormat="1" applyBorder="1"/>
    <xf numFmtId="10" fontId="4" fillId="6" borderId="7" xfId="6" applyNumberFormat="1" applyFill="1" applyBorder="1"/>
    <xf numFmtId="0" fontId="7" fillId="4" borderId="2" xfId="6" applyFont="1" applyFill="1" applyBorder="1" applyAlignment="1">
      <alignment horizontal="center"/>
    </xf>
    <xf numFmtId="0" fontId="7" fillId="4" borderId="11" xfId="5" applyFont="1" applyFill="1" applyBorder="1" applyAlignment="1">
      <alignment horizontal="centerContinuous"/>
    </xf>
    <xf numFmtId="0" fontId="7" fillId="4" borderId="13" xfId="5" applyFont="1" applyFill="1" applyBorder="1" applyAlignment="1">
      <alignment horizontal="centerContinuous"/>
    </xf>
    <xf numFmtId="16" fontId="7" fillId="4" borderId="11" xfId="5" applyNumberFormat="1" applyFont="1" applyFill="1" applyBorder="1" applyAlignment="1">
      <alignment horizontal="centerContinuous"/>
    </xf>
    <xf numFmtId="0" fontId="4" fillId="4" borderId="4" xfId="6" applyFill="1" applyBorder="1" applyAlignment="1">
      <alignment horizontal="center"/>
    </xf>
    <xf numFmtId="0" fontId="4" fillId="4" borderId="5" xfId="6" applyFill="1" applyBorder="1" applyAlignment="1">
      <alignment horizontal="center"/>
    </xf>
    <xf numFmtId="9" fontId="0" fillId="0" borderId="0" xfId="0" applyNumberFormat="1"/>
    <xf numFmtId="166" fontId="4" fillId="0" borderId="6" xfId="6" applyNumberFormat="1" applyBorder="1"/>
    <xf numFmtId="166" fontId="4" fillId="0" borderId="2" xfId="6" applyNumberFormat="1" applyBorder="1"/>
    <xf numFmtId="38" fontId="4" fillId="4" borderId="6" xfId="6" applyNumberFormat="1" applyFill="1" applyBorder="1" applyAlignment="1">
      <alignment horizontal="center"/>
    </xf>
    <xf numFmtId="9" fontId="0" fillId="2" borderId="10" xfId="0" applyNumberFormat="1" applyFill="1" applyBorder="1"/>
    <xf numFmtId="166" fontId="4" fillId="0" borderId="10" xfId="6" applyNumberFormat="1" applyBorder="1"/>
    <xf numFmtId="164" fontId="0" fillId="2" borderId="10" xfId="0" applyNumberFormat="1" applyFill="1" applyBorder="1"/>
    <xf numFmtId="9" fontId="0" fillId="7" borderId="10" xfId="0" applyNumberFormat="1" applyFill="1" applyBorder="1"/>
    <xf numFmtId="10" fontId="0" fillId="7" borderId="10" xfId="0" applyNumberFormat="1" applyFill="1" applyBorder="1"/>
    <xf numFmtId="0" fontId="2" fillId="3" borderId="4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9" fontId="0" fillId="8" borderId="0" xfId="0" applyNumberFormat="1" applyFill="1"/>
    <xf numFmtId="0" fontId="0" fillId="8" borderId="0" xfId="0" applyFill="1"/>
    <xf numFmtId="0" fontId="3" fillId="0" borderId="0" xfId="0" applyFont="1"/>
    <xf numFmtId="166" fontId="4" fillId="9" borderId="10" xfId="6" applyNumberFormat="1" applyFill="1" applyBorder="1"/>
    <xf numFmtId="164" fontId="5" fillId="0" borderId="10" xfId="1" applyNumberFormat="1" applyFont="1" applyFill="1" applyBorder="1"/>
    <xf numFmtId="164" fontId="5" fillId="0" borderId="15" xfId="1" applyNumberFormat="1" applyFont="1" applyFill="1" applyBorder="1"/>
    <xf numFmtId="0" fontId="5" fillId="0" borderId="10" xfId="0" applyFont="1" applyBorder="1"/>
    <xf numFmtId="0" fontId="0" fillId="0" borderId="0" xfId="0" quotePrefix="1"/>
    <xf numFmtId="38" fontId="0" fillId="0" borderId="0" xfId="0" applyNumberFormat="1"/>
    <xf numFmtId="10" fontId="4" fillId="9" borderId="10" xfId="6" applyNumberFormat="1" applyFill="1" applyBorder="1"/>
    <xf numFmtId="10" fontId="0" fillId="0" borderId="0" xfId="0" applyNumberFormat="1"/>
    <xf numFmtId="0" fontId="5" fillId="0" borderId="0" xfId="0" applyFont="1"/>
    <xf numFmtId="0" fontId="5" fillId="2" borderId="0" xfId="0" applyFont="1" applyFill="1"/>
    <xf numFmtId="0" fontId="11" fillId="0" borderId="0" xfId="0" applyFont="1"/>
    <xf numFmtId="0" fontId="12" fillId="0" borderId="0" xfId="0" applyFont="1"/>
    <xf numFmtId="0" fontId="13" fillId="0" borderId="0" xfId="4" applyFont="1" applyAlignment="1">
      <alignment horizontal="left" vertical="center"/>
    </xf>
    <xf numFmtId="0" fontId="12" fillId="0" borderId="0" xfId="3" applyFont="1"/>
    <xf numFmtId="0" fontId="12" fillId="0" borderId="0" xfId="3" applyFont="1" applyAlignment="1">
      <alignment horizontal="center"/>
    </xf>
    <xf numFmtId="0" fontId="12" fillId="2" borderId="0" xfId="0" applyFont="1" applyFill="1"/>
    <xf numFmtId="0" fontId="17" fillId="0" borderId="0" xfId="0" applyFont="1"/>
    <xf numFmtId="0" fontId="18" fillId="0" borderId="0" xfId="0" applyFont="1" applyAlignment="1">
      <alignment horizontal="center"/>
    </xf>
    <xf numFmtId="164" fontId="17" fillId="0" borderId="0" xfId="0" applyNumberFormat="1" applyFont="1"/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12" fillId="0" borderId="9" xfId="0" applyFont="1" applyBorder="1"/>
    <xf numFmtId="0" fontId="11" fillId="0" borderId="9" xfId="0" applyFont="1" applyBorder="1"/>
    <xf numFmtId="164" fontId="12" fillId="0" borderId="9" xfId="0" applyNumberFormat="1" applyFont="1" applyBorder="1"/>
    <xf numFmtId="9" fontId="12" fillId="0" borderId="9" xfId="2" applyFont="1" applyFill="1" applyBorder="1" applyAlignment="1">
      <alignment horizontal="center"/>
    </xf>
    <xf numFmtId="3" fontId="12" fillId="0" borderId="9" xfId="2" applyNumberFormat="1" applyFont="1" applyFill="1" applyBorder="1" applyAlignment="1">
      <alignment horizontal="center"/>
    </xf>
    <xf numFmtId="9" fontId="12" fillId="0" borderId="0" xfId="2" applyFont="1" applyFill="1" applyBorder="1" applyAlignment="1">
      <alignment horizontal="center"/>
    </xf>
    <xf numFmtId="9" fontId="12" fillId="0" borderId="9" xfId="0" applyNumberFormat="1" applyFont="1" applyBorder="1"/>
    <xf numFmtId="164" fontId="12" fillId="0" borderId="9" xfId="1" applyNumberFormat="1" applyFont="1" applyFill="1" applyBorder="1"/>
    <xf numFmtId="3" fontId="12" fillId="0" borderId="0" xfId="2" applyNumberFormat="1" applyFont="1" applyFill="1" applyBorder="1" applyAlignment="1">
      <alignment horizontal="center"/>
    </xf>
    <xf numFmtId="164" fontId="12" fillId="0" borderId="0" xfId="0" applyNumberFormat="1" applyFont="1"/>
    <xf numFmtId="0" fontId="11" fillId="0" borderId="16" xfId="0" applyFont="1" applyBorder="1"/>
    <xf numFmtId="164" fontId="12" fillId="0" borderId="16" xfId="0" applyNumberFormat="1" applyFont="1" applyBorder="1"/>
    <xf numFmtId="9" fontId="12" fillId="0" borderId="16" xfId="2" applyFont="1" applyFill="1" applyBorder="1" applyAlignment="1">
      <alignment horizontal="center"/>
    </xf>
    <xf numFmtId="3" fontId="11" fillId="0" borderId="16" xfId="2" applyNumberFormat="1" applyFont="1" applyFill="1" applyBorder="1" applyAlignment="1">
      <alignment horizontal="center"/>
    </xf>
    <xf numFmtId="9" fontId="12" fillId="0" borderId="16" xfId="0" applyNumberFormat="1" applyFont="1" applyBorder="1"/>
    <xf numFmtId="164" fontId="11" fillId="0" borderId="16" xfId="1" applyNumberFormat="1" applyFont="1" applyFill="1" applyBorder="1"/>
    <xf numFmtId="166" fontId="11" fillId="0" borderId="0" xfId="2" applyNumberFormat="1" applyFont="1" applyFill="1"/>
    <xf numFmtId="3" fontId="12" fillId="2" borderId="0" xfId="0" applyNumberFormat="1" applyFont="1" applyFill="1"/>
    <xf numFmtId="164" fontId="12" fillId="2" borderId="0" xfId="1" applyNumberFormat="1" applyFont="1" applyFill="1"/>
    <xf numFmtId="167" fontId="12" fillId="0" borderId="0" xfId="1" applyNumberFormat="1" applyFont="1" applyFill="1"/>
    <xf numFmtId="0" fontId="10" fillId="0" borderId="0" xfId="0" applyFont="1"/>
    <xf numFmtId="0" fontId="5" fillId="2" borderId="0" xfId="0" applyFont="1" applyFill="1" applyAlignment="1">
      <alignment horizontal="left" vertical="top" wrapText="1"/>
    </xf>
    <xf numFmtId="0" fontId="20" fillId="0" borderId="0" xfId="4" applyFont="1" applyAlignment="1">
      <alignment horizontal="left" vertical="center"/>
    </xf>
    <xf numFmtId="0" fontId="9" fillId="0" borderId="0" xfId="3" applyFont="1"/>
    <xf numFmtId="0" fontId="9" fillId="0" borderId="0" xfId="3" applyFont="1" applyAlignment="1">
      <alignment horizontal="center"/>
    </xf>
    <xf numFmtId="165" fontId="20" fillId="0" borderId="0" xfId="4" applyNumberFormat="1" applyFont="1" applyAlignment="1">
      <alignment vertical="center"/>
    </xf>
    <xf numFmtId="0" fontId="21" fillId="0" borderId="0" xfId="4" applyFont="1" applyAlignment="1">
      <alignment horizontal="right" vertical="center"/>
    </xf>
    <xf numFmtId="0" fontId="24" fillId="0" borderId="0" xfId="0" applyFont="1" applyAlignment="1">
      <alignment vertical="center"/>
    </xf>
    <xf numFmtId="164" fontId="2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10" fillId="0" borderId="0" xfId="0" applyFont="1" applyAlignment="1">
      <alignment horizontal="center"/>
    </xf>
    <xf numFmtId="0" fontId="24" fillId="0" borderId="14" xfId="0" applyFont="1" applyBorder="1"/>
    <xf numFmtId="0" fontId="5" fillId="0" borderId="14" xfId="0" applyFont="1" applyBorder="1"/>
    <xf numFmtId="0" fontId="10" fillId="0" borderId="14" xfId="0" applyFont="1" applyBorder="1" applyAlignment="1">
      <alignment horizontal="center" vertical="center" wrapText="1"/>
    </xf>
    <xf numFmtId="0" fontId="10" fillId="0" borderId="14" xfId="0" quotePrefix="1" applyFont="1" applyBorder="1" applyAlignment="1">
      <alignment horizontal="center" vertical="center" wrapText="1"/>
    </xf>
    <xf numFmtId="0" fontId="24" fillId="0" borderId="0" xfId="0" applyFont="1" applyAlignment="1">
      <alignment wrapText="1"/>
    </xf>
    <xf numFmtId="9" fontId="24" fillId="0" borderId="0" xfId="2" applyFont="1" applyFill="1" applyBorder="1" applyAlignment="1">
      <alignment horizontal="center" vertical="center"/>
    </xf>
    <xf numFmtId="9" fontId="24" fillId="0" borderId="0" xfId="2" applyFont="1" applyFill="1" applyBorder="1" applyAlignment="1">
      <alignment vertical="center"/>
    </xf>
    <xf numFmtId="164" fontId="24" fillId="0" borderId="0" xfId="0" applyNumberFormat="1" applyFont="1" applyAlignment="1">
      <alignment horizontal="right" vertical="center"/>
    </xf>
    <xf numFmtId="164" fontId="24" fillId="0" borderId="16" xfId="1" applyNumberFormat="1" applyFont="1" applyFill="1" applyBorder="1" applyAlignment="1">
      <alignment vertical="center"/>
    </xf>
    <xf numFmtId="164" fontId="24" fillId="0" borderId="0" xfId="0" applyNumberFormat="1" applyFont="1"/>
    <xf numFmtId="3" fontId="24" fillId="0" borderId="0" xfId="2" applyNumberFormat="1" applyFont="1" applyFill="1" applyBorder="1" applyAlignment="1">
      <alignment horizontal="center"/>
    </xf>
    <xf numFmtId="9" fontId="24" fillId="0" borderId="0" xfId="2" applyFont="1" applyFill="1" applyBorder="1" applyAlignment="1">
      <alignment horizontal="center"/>
    </xf>
    <xf numFmtId="0" fontId="25" fillId="0" borderId="0" xfId="4" applyFont="1" applyAlignment="1">
      <alignment horizontal="left" vertical="center"/>
    </xf>
    <xf numFmtId="0" fontId="26" fillId="0" borderId="0" xfId="0" applyFont="1"/>
    <xf numFmtId="0" fontId="27" fillId="0" borderId="0" xfId="0" applyFont="1"/>
    <xf numFmtId="0" fontId="26" fillId="2" borderId="0" xfId="0" applyFont="1" applyFill="1"/>
    <xf numFmtId="0" fontId="30" fillId="0" borderId="0" xfId="0" applyFont="1"/>
    <xf numFmtId="0" fontId="30" fillId="0" borderId="0" xfId="0" applyFont="1" applyAlignment="1">
      <alignment horizontal="left" indent="1"/>
    </xf>
    <xf numFmtId="0" fontId="30" fillId="2" borderId="0" xfId="0" applyFont="1" applyFill="1"/>
    <xf numFmtId="0" fontId="31" fillId="0" borderId="0" xfId="0" applyFont="1"/>
    <xf numFmtId="9" fontId="24" fillId="0" borderId="16" xfId="2" applyFont="1" applyFill="1" applyBorder="1" applyAlignment="1">
      <alignment horizontal="center" vertical="center"/>
    </xf>
    <xf numFmtId="9" fontId="0" fillId="0" borderId="0" xfId="2" applyFont="1"/>
    <xf numFmtId="0" fontId="33" fillId="5" borderId="0" xfId="0" quotePrefix="1" applyFont="1" applyFill="1"/>
    <xf numFmtId="164" fontId="11" fillId="8" borderId="16" xfId="1" applyNumberFormat="1" applyFont="1" applyFill="1" applyBorder="1"/>
    <xf numFmtId="0" fontId="34" fillId="0" borderId="0" xfId="9" applyFill="1" applyAlignment="1">
      <alignment vertical="center"/>
    </xf>
    <xf numFmtId="164" fontId="32" fillId="0" borderId="10" xfId="1" applyNumberFormat="1" applyFont="1" applyBorder="1"/>
    <xf numFmtId="164" fontId="30" fillId="10" borderId="10" xfId="1" applyNumberFormat="1" applyFont="1" applyFill="1" applyBorder="1" applyProtection="1">
      <protection locked="0"/>
    </xf>
    <xf numFmtId="166" fontId="30" fillId="10" borderId="10" xfId="0" applyNumberFormat="1" applyFont="1" applyFill="1" applyBorder="1" applyProtection="1">
      <protection locked="0"/>
    </xf>
    <xf numFmtId="0" fontId="30" fillId="10" borderId="10" xfId="0" applyFont="1" applyFill="1" applyBorder="1" applyAlignment="1" applyProtection="1">
      <alignment horizontal="right"/>
      <protection locked="0"/>
    </xf>
    <xf numFmtId="0" fontId="30" fillId="10" borderId="10" xfId="0" applyFont="1" applyFill="1" applyBorder="1" applyProtection="1">
      <protection locked="0"/>
    </xf>
    <xf numFmtId="168" fontId="30" fillId="10" borderId="10" xfId="10" applyNumberFormat="1" applyFont="1" applyFill="1" applyBorder="1"/>
    <xf numFmtId="166" fontId="11" fillId="0" borderId="0" xfId="2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right"/>
      <protection locked="0"/>
    </xf>
    <xf numFmtId="164" fontId="24" fillId="0" borderId="0" xfId="1" applyNumberFormat="1" applyFont="1" applyFill="1" applyBorder="1" applyAlignment="1">
      <alignment vertical="center"/>
    </xf>
    <xf numFmtId="3" fontId="24" fillId="0" borderId="0" xfId="0" applyNumberFormat="1" applyFont="1" applyAlignment="1">
      <alignment horizontal="right" vertical="center"/>
    </xf>
    <xf numFmtId="164" fontId="24" fillId="0" borderId="0" xfId="1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right" vertical="center"/>
    </xf>
    <xf numFmtId="9" fontId="24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/>
    </xf>
    <xf numFmtId="1" fontId="30" fillId="10" borderId="10" xfId="0" applyNumberFormat="1" applyFont="1" applyFill="1" applyBorder="1" applyProtection="1">
      <protection locked="0"/>
    </xf>
    <xf numFmtId="166" fontId="0" fillId="8" borderId="10" xfId="0" applyNumberFormat="1" applyFill="1" applyBorder="1"/>
    <xf numFmtId="9" fontId="0" fillId="2" borderId="17" xfId="0" applyNumberFormat="1" applyFill="1" applyBorder="1"/>
    <xf numFmtId="9" fontId="0" fillId="0" borderId="10" xfId="2" applyFont="1" applyBorder="1"/>
    <xf numFmtId="164" fontId="0" fillId="0" borderId="10" xfId="1" applyNumberFormat="1" applyFont="1" applyBorder="1"/>
    <xf numFmtId="0" fontId="12" fillId="0" borderId="18" xfId="0" applyFont="1" applyBorder="1"/>
    <xf numFmtId="0" fontId="11" fillId="0" borderId="18" xfId="0" applyFont="1" applyBorder="1"/>
    <xf numFmtId="164" fontId="12" fillId="0" borderId="18" xfId="0" applyNumberFormat="1" applyFont="1" applyBorder="1"/>
    <xf numFmtId="3" fontId="12" fillId="0" borderId="18" xfId="2" applyNumberFormat="1" applyFont="1" applyFill="1" applyBorder="1" applyAlignment="1">
      <alignment horizontal="center"/>
    </xf>
    <xf numFmtId="1" fontId="0" fillId="0" borderId="0" xfId="0" applyNumberFormat="1"/>
    <xf numFmtId="9" fontId="17" fillId="0" borderId="0" xfId="2" applyFont="1" applyFill="1" applyBorder="1"/>
    <xf numFmtId="164" fontId="12" fillId="0" borderId="19" xfId="0" applyNumberFormat="1" applyFont="1" applyBorder="1"/>
    <xf numFmtId="3" fontId="12" fillId="0" borderId="19" xfId="2" applyNumberFormat="1" applyFont="1" applyFill="1" applyBorder="1" applyAlignment="1">
      <alignment horizontal="center"/>
    </xf>
    <xf numFmtId="9" fontId="12" fillId="0" borderId="19" xfId="0" applyNumberFormat="1" applyFont="1" applyBorder="1"/>
    <xf numFmtId="0" fontId="12" fillId="0" borderId="19" xfId="0" applyFont="1" applyBorder="1"/>
    <xf numFmtId="0" fontId="11" fillId="0" borderId="19" xfId="0" applyFont="1" applyBorder="1"/>
    <xf numFmtId="9" fontId="12" fillId="0" borderId="19" xfId="2" applyFont="1" applyFill="1" applyBorder="1" applyAlignment="1">
      <alignment horizontal="center"/>
    </xf>
    <xf numFmtId="168" fontId="30" fillId="10" borderId="10" xfId="10" applyNumberFormat="1" applyFont="1" applyFill="1" applyBorder="1" applyProtection="1"/>
    <xf numFmtId="9" fontId="30" fillId="8" borderId="10" xfId="2" applyFont="1" applyFill="1" applyBorder="1" applyProtection="1">
      <protection locked="0"/>
    </xf>
    <xf numFmtId="9" fontId="30" fillId="8" borderId="10" xfId="0" applyNumberFormat="1" applyFont="1" applyFill="1" applyBorder="1" applyProtection="1">
      <protection locked="0"/>
    </xf>
    <xf numFmtId="168" fontId="30" fillId="0" borderId="0" xfId="10" applyNumberFormat="1" applyFont="1" applyFill="1" applyBorder="1"/>
    <xf numFmtId="0" fontId="30" fillId="11" borderId="0" xfId="0" applyFont="1" applyFill="1" applyAlignment="1" applyProtection="1">
      <alignment horizontal="center"/>
      <protection locked="0"/>
    </xf>
    <xf numFmtId="0" fontId="2" fillId="0" borderId="0" xfId="0" applyFont="1"/>
    <xf numFmtId="9" fontId="12" fillId="0" borderId="19" xfId="0" applyNumberFormat="1" applyFont="1" applyBorder="1" applyAlignment="1">
      <alignment horizontal="center"/>
    </xf>
    <xf numFmtId="9" fontId="12" fillId="0" borderId="18" xfId="0" applyNumberFormat="1" applyFont="1" applyBorder="1" applyAlignment="1">
      <alignment horizontal="center"/>
    </xf>
    <xf numFmtId="0" fontId="38" fillId="0" borderId="0" xfId="0" applyFont="1"/>
    <xf numFmtId="0" fontId="29" fillId="12" borderId="0" xfId="0" applyFont="1" applyFill="1" applyAlignment="1">
      <alignment horizontal="center" wrapText="1"/>
    </xf>
    <xf numFmtId="0" fontId="30" fillId="13" borderId="0" xfId="0" applyFont="1" applyFill="1" applyAlignment="1" applyProtection="1">
      <alignment horizontal="right"/>
      <protection locked="0"/>
    </xf>
    <xf numFmtId="0" fontId="30" fillId="13" borderId="0" xfId="0" applyFont="1" applyFill="1" applyProtection="1">
      <protection locked="0"/>
    </xf>
    <xf numFmtId="9" fontId="30" fillId="7" borderId="10" xfId="2" applyFont="1" applyFill="1" applyBorder="1" applyProtection="1">
      <protection locked="0"/>
    </xf>
    <xf numFmtId="9" fontId="27" fillId="0" borderId="0" xfId="0" applyNumberFormat="1" applyFont="1" applyAlignment="1">
      <alignment horizontal="center"/>
    </xf>
    <xf numFmtId="0" fontId="39" fillId="12" borderId="0" xfId="0" applyFont="1" applyFill="1" applyAlignment="1">
      <alignment horizontal="left"/>
    </xf>
    <xf numFmtId="0" fontId="28" fillId="13" borderId="0" xfId="0" applyFont="1" applyFill="1"/>
    <xf numFmtId="0" fontId="40" fillId="12" borderId="0" xfId="0" applyFont="1" applyFill="1" applyAlignment="1">
      <alignment horizontal="left"/>
    </xf>
    <xf numFmtId="0" fontId="8" fillId="12" borderId="0" xfId="0" applyFont="1" applyFill="1" applyAlignment="1">
      <alignment horizontal="left"/>
    </xf>
    <xf numFmtId="0" fontId="36" fillId="12" borderId="0" xfId="0" applyFont="1" applyFill="1" applyAlignment="1">
      <alignment horizontal="center" wrapText="1"/>
    </xf>
    <xf numFmtId="0" fontId="22" fillId="13" borderId="0" xfId="0" applyFont="1" applyFill="1" applyAlignment="1">
      <alignment horizontal="left"/>
    </xf>
    <xf numFmtId="0" fontId="23" fillId="13" borderId="0" xfId="0" applyFont="1" applyFill="1" applyAlignment="1">
      <alignment horizontal="center" wrapText="1"/>
    </xf>
    <xf numFmtId="0" fontId="41" fillId="12" borderId="0" xfId="0" applyFont="1" applyFill="1" applyAlignment="1">
      <alignment horizontal="left"/>
    </xf>
    <xf numFmtId="0" fontId="42" fillId="12" borderId="0" xfId="0" applyFont="1" applyFill="1" applyAlignment="1">
      <alignment horizontal="center" wrapText="1"/>
    </xf>
    <xf numFmtId="0" fontId="15" fillId="13" borderId="0" xfId="0" applyFont="1" applyFill="1" applyAlignment="1">
      <alignment horizontal="left"/>
    </xf>
    <xf numFmtId="0" fontId="16" fillId="13" borderId="0" xfId="0" applyFont="1" applyFill="1" applyAlignment="1">
      <alignment horizontal="center" wrapText="1"/>
    </xf>
    <xf numFmtId="0" fontId="16" fillId="13" borderId="0" xfId="0" applyFont="1" applyFill="1" applyAlignment="1">
      <alignment horizontal="right"/>
    </xf>
    <xf numFmtId="0" fontId="43" fillId="12" borderId="12" xfId="0" applyFont="1" applyFill="1" applyBorder="1" applyAlignment="1">
      <alignment horizontal="center" wrapText="1"/>
    </xf>
    <xf numFmtId="0" fontId="43" fillId="12" borderId="1" xfId="0" applyFont="1" applyFill="1" applyBorder="1" applyAlignment="1">
      <alignment horizontal="center" wrapText="1"/>
    </xf>
    <xf numFmtId="9" fontId="27" fillId="7" borderId="10" xfId="0" applyNumberFormat="1" applyFont="1" applyFill="1" applyBorder="1" applyAlignment="1">
      <alignment horizontal="center"/>
    </xf>
    <xf numFmtId="0" fontId="30" fillId="14" borderId="0" xfId="0" applyFont="1" applyFill="1"/>
    <xf numFmtId="168" fontId="30" fillId="8" borderId="10" xfId="10" applyNumberFormat="1" applyFont="1" applyFill="1" applyBorder="1" applyProtection="1">
      <protection locked="0"/>
    </xf>
    <xf numFmtId="0" fontId="27" fillId="13" borderId="20" xfId="0" applyFont="1" applyFill="1" applyBorder="1"/>
    <xf numFmtId="0" fontId="30" fillId="13" borderId="21" xfId="0" applyFont="1" applyFill="1" applyBorder="1"/>
    <xf numFmtId="0" fontId="30" fillId="13" borderId="22" xfId="0" applyFont="1" applyFill="1" applyBorder="1"/>
    <xf numFmtId="0" fontId="27" fillId="8" borderId="20" xfId="0" applyFont="1" applyFill="1" applyBorder="1"/>
    <xf numFmtId="0" fontId="30" fillId="8" borderId="21" xfId="0" applyFont="1" applyFill="1" applyBorder="1"/>
    <xf numFmtId="0" fontId="30" fillId="8" borderId="22" xfId="0" applyFont="1" applyFill="1" applyBorder="1"/>
    <xf numFmtId="0" fontId="42" fillId="12" borderId="1" xfId="0" applyFont="1" applyFill="1" applyBorder="1" applyAlignment="1">
      <alignment horizontal="center" wrapText="1"/>
    </xf>
    <xf numFmtId="0" fontId="37" fillId="0" borderId="0" xfId="0" applyFont="1"/>
    <xf numFmtId="3" fontId="44" fillId="0" borderId="0" xfId="9" applyNumberFormat="1" applyFont="1" applyFill="1" applyBorder="1" applyAlignment="1">
      <alignment horizontal="centerContinuous"/>
    </xf>
    <xf numFmtId="9" fontId="44" fillId="0" borderId="0" xfId="2" applyFont="1" applyFill="1" applyBorder="1" applyAlignment="1">
      <alignment horizontal="centerContinuous"/>
    </xf>
    <xf numFmtId="0" fontId="44" fillId="0" borderId="0" xfId="0" applyFont="1" applyAlignment="1">
      <alignment horizontal="centerContinuous"/>
    </xf>
    <xf numFmtId="0" fontId="45" fillId="0" borderId="0" xfId="9" applyFont="1" applyFill="1" applyBorder="1" applyAlignment="1">
      <alignment vertical="center"/>
    </xf>
    <xf numFmtId="49" fontId="30" fillId="0" borderId="0" xfId="0" applyNumberFormat="1" applyFont="1" applyAlignment="1">
      <alignment horizontal="left" indent="1"/>
    </xf>
    <xf numFmtId="0" fontId="44" fillId="0" borderId="0" xfId="9" applyFont="1" applyFill="1" applyBorder="1" applyAlignment="1">
      <alignment horizontal="centerContinuous" vertical="center"/>
    </xf>
    <xf numFmtId="0" fontId="46" fillId="0" borderId="0" xfId="0" applyFont="1" applyAlignment="1">
      <alignment horizontal="centerContinuous"/>
    </xf>
    <xf numFmtId="166" fontId="4" fillId="0" borderId="6" xfId="6" applyNumberFormat="1" applyFill="1" applyBorder="1"/>
    <xf numFmtId="10" fontId="4" fillId="0" borderId="7" xfId="6" applyNumberFormat="1" applyFill="1" applyBorder="1"/>
    <xf numFmtId="0" fontId="30" fillId="8" borderId="0" xfId="0" applyFont="1" applyFill="1"/>
    <xf numFmtId="0" fontId="30" fillId="8" borderId="0" xfId="0" applyFont="1" applyFill="1" applyAlignment="1" applyProtection="1">
      <alignment horizontal="right"/>
      <protection locked="0"/>
    </xf>
    <xf numFmtId="0" fontId="30" fillId="8" borderId="0" xfId="0" applyFont="1" applyFill="1" applyAlignment="1">
      <alignment horizontal="left" indent="1"/>
    </xf>
    <xf numFmtId="0" fontId="30" fillId="10" borderId="11" xfId="0" applyFont="1" applyFill="1" applyBorder="1" applyAlignment="1" applyProtection="1">
      <alignment horizontal="left"/>
      <protection locked="0"/>
    </xf>
    <xf numFmtId="0" fontId="30" fillId="10" borderId="13" xfId="0" applyFont="1" applyFill="1" applyBorder="1" applyAlignment="1" applyProtection="1">
      <alignment horizontal="left"/>
      <protection locked="0"/>
    </xf>
    <xf numFmtId="165" fontId="27" fillId="0" borderId="0" xfId="4" applyNumberFormat="1" applyFont="1" applyAlignment="1">
      <alignment horizontal="left" vertical="center"/>
    </xf>
    <xf numFmtId="0" fontId="24" fillId="10" borderId="11" xfId="0" applyFont="1" applyFill="1" applyBorder="1" applyAlignment="1" applyProtection="1">
      <alignment horizontal="left"/>
      <protection locked="0"/>
    </xf>
    <xf numFmtId="0" fontId="24" fillId="10" borderId="13" xfId="0" applyFont="1" applyFill="1" applyBorder="1" applyAlignment="1" applyProtection="1">
      <alignment horizontal="left"/>
      <protection locked="0"/>
    </xf>
    <xf numFmtId="0" fontId="19" fillId="2" borderId="0" xfId="0" applyFont="1" applyFill="1" applyAlignment="1">
      <alignment horizontal="left" vertical="top" wrapText="1"/>
    </xf>
    <xf numFmtId="165" fontId="10" fillId="0" borderId="0" xfId="4" applyNumberFormat="1" applyFont="1" applyAlignment="1">
      <alignment horizontal="left" vertical="center"/>
    </xf>
    <xf numFmtId="166" fontId="11" fillId="0" borderId="0" xfId="2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12" fillId="2" borderId="0" xfId="0" applyFont="1" applyFill="1" applyAlignment="1">
      <alignment horizontal="left" vertical="top" wrapText="1"/>
    </xf>
    <xf numFmtId="165" fontId="14" fillId="0" borderId="0" xfId="4" applyNumberFormat="1" applyFont="1" applyAlignment="1">
      <alignment horizontal="left" vertical="center"/>
    </xf>
    <xf numFmtId="0" fontId="43" fillId="12" borderId="11" xfId="0" applyFont="1" applyFill="1" applyBorder="1" applyAlignment="1">
      <alignment horizontal="center" vertical="center" wrapText="1"/>
    </xf>
    <xf numFmtId="0" fontId="43" fillId="12" borderId="12" xfId="0" applyFont="1" applyFill="1" applyBorder="1" applyAlignment="1">
      <alignment horizontal="center" vertical="center" wrapText="1"/>
    </xf>
    <xf numFmtId="0" fontId="43" fillId="12" borderId="13" xfId="0" applyFont="1" applyFill="1" applyBorder="1" applyAlignment="1">
      <alignment horizontal="center" vertical="center" wrapText="1"/>
    </xf>
    <xf numFmtId="0" fontId="4" fillId="4" borderId="11" xfId="6" applyFill="1" applyBorder="1" applyAlignment="1">
      <alignment horizontal="center"/>
    </xf>
    <xf numFmtId="0" fontId="4" fillId="4" borderId="13" xfId="6" applyFill="1" applyBorder="1" applyAlignment="1">
      <alignment horizontal="center"/>
    </xf>
    <xf numFmtId="0" fontId="8" fillId="3" borderId="0" xfId="0" applyFont="1" applyFill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8" fillId="3" borderId="8" xfId="0" applyFont="1" applyFill="1" applyBorder="1" applyAlignment="1">
      <alignment horizontal="center" wrapText="1"/>
    </xf>
    <xf numFmtId="0" fontId="8" fillId="3" borderId="3" xfId="0" applyFont="1" applyFill="1" applyBorder="1" applyAlignment="1">
      <alignment horizontal="center" wrapText="1"/>
    </xf>
    <xf numFmtId="49" fontId="7" fillId="4" borderId="11" xfId="5" applyNumberFormat="1" applyFont="1" applyFill="1" applyBorder="1" applyAlignment="1">
      <alignment horizontal="center"/>
    </xf>
    <xf numFmtId="49" fontId="7" fillId="4" borderId="13" xfId="5" applyNumberFormat="1" applyFont="1" applyFill="1" applyBorder="1" applyAlignment="1">
      <alignment horizontal="center"/>
    </xf>
  </cellXfs>
  <cellStyles count="11">
    <cellStyle name="Comma" xfId="1" builtinId="3"/>
    <cellStyle name="Comma 2" xfId="8" xr:uid="{00000000-0005-0000-0000-000001000000}"/>
    <cellStyle name="Currency" xfId="10" builtinId="4"/>
    <cellStyle name="Hyperlink" xfId="9" builtinId="8"/>
    <cellStyle name="Normal" xfId="0" builtinId="0"/>
    <cellStyle name="Normal 2" xfId="7" xr:uid="{00000000-0005-0000-0000-000005000000}"/>
    <cellStyle name="Normal 4" xfId="4" xr:uid="{00000000-0005-0000-0000-000006000000}"/>
    <cellStyle name="Normal_FC 02 WAP Calculator (v11.06.01)" xfId="5" xr:uid="{00000000-0005-0000-0000-000007000000}"/>
    <cellStyle name="Normal_laroux_3" xfId="6" xr:uid="{00000000-0005-0000-0000-000008000000}"/>
    <cellStyle name="Normal_Q3 2012 review" xfId="3" xr:uid="{00000000-0005-0000-0000-000009000000}"/>
    <cellStyle name="Percent" xfId="2" builtinId="5"/>
  </cellStyles>
  <dxfs count="3">
    <dxf>
      <font>
        <b/>
        <i val="0"/>
        <color theme="5" tint="-0.24994659260841701"/>
      </font>
    </dxf>
    <dxf>
      <font>
        <color auto="1"/>
      </font>
      <fill>
        <patternFill patternType="none">
          <fgColor auto="1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4EA8"/>
      <color rgb="FF00306A"/>
      <color rgb="FFFFCC00"/>
      <color rgb="FFFFCC2C"/>
      <color rgb="FFCCFFFF"/>
      <color rgb="FFFFCCFF"/>
      <color rgb="FFA99A6F"/>
      <color rgb="FF00254B"/>
      <color rgb="FF00FF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calcChain.xml" Type="http://schemas.openxmlformats.org/officeDocument/2006/relationships/calcChain"/><Relationship Id="rId9" Target="vbaProject.bin" Type="http://schemas.microsoft.com/office/2006/relationships/vbaProject"/></Relationships>
</file>

<file path=xl/ctrlProps/ctrlProp1.xml><?xml version="1.0" encoding="utf-8"?>
<formControlPr xmlns="http://schemas.microsoft.com/office/spreadsheetml/2009/9/main" objectType="Drop" dropStyle="combo" dx="24" fmlaLink="$HD$66" fmlaRange="$W$1:$W$5" noThreeD="1" sel="5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208</xdr:col>
          <xdr:colOff>510540</xdr:colOff>
          <xdr:row>63</xdr:row>
          <xdr:rowOff>22860</xdr:rowOff>
        </xdr:from>
        <xdr:to>
          <xdr:col>211</xdr:col>
          <xdr:colOff>594360</xdr:colOff>
          <xdr:row>64</xdr:row>
          <xdr:rowOff>53340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518583</xdr:colOff>
      <xdr:row>25</xdr:row>
      <xdr:rowOff>17995</xdr:rowOff>
    </xdr:from>
    <xdr:to>
      <xdr:col>17</xdr:col>
      <xdr:colOff>77258</xdr:colOff>
      <xdr:row>26</xdr:row>
      <xdr:rowOff>84667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V="1">
          <a:off x="8868833" y="4981578"/>
          <a:ext cx="627592" cy="236006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26</xdr:row>
      <xdr:rowOff>84663</xdr:rowOff>
    </xdr:from>
    <xdr:to>
      <xdr:col>18</xdr:col>
      <xdr:colOff>123266</xdr:colOff>
      <xdr:row>28</xdr:row>
      <xdr:rowOff>78441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968380" y="5306604"/>
          <a:ext cx="3800474" cy="3075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45</xdr:row>
      <xdr:rowOff>17995</xdr:rowOff>
    </xdr:from>
    <xdr:to>
      <xdr:col>17</xdr:col>
      <xdr:colOff>77258</xdr:colOff>
      <xdr:row>46</xdr:row>
      <xdr:rowOff>84667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 flipV="1">
          <a:off x="8889377" y="5071848"/>
          <a:ext cx="634440" cy="234760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518583</xdr:colOff>
      <xdr:row>65</xdr:row>
      <xdr:rowOff>17995</xdr:rowOff>
    </xdr:from>
    <xdr:to>
      <xdr:col>17</xdr:col>
      <xdr:colOff>77258</xdr:colOff>
      <xdr:row>66</xdr:row>
      <xdr:rowOff>84667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 flipV="1">
          <a:off x="8889377" y="8512054"/>
          <a:ext cx="634440" cy="234760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390526</xdr:colOff>
      <xdr:row>66</xdr:row>
      <xdr:rowOff>84663</xdr:rowOff>
    </xdr:from>
    <xdr:to>
      <xdr:col>18</xdr:col>
      <xdr:colOff>0</xdr:colOff>
      <xdr:row>68</xdr:row>
      <xdr:rowOff>78441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6856320" y="8746810"/>
          <a:ext cx="3542739" cy="3075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381000</xdr:colOff>
      <xdr:row>46</xdr:row>
      <xdr:rowOff>98778</xdr:rowOff>
    </xdr:from>
    <xdr:to>
      <xdr:col>18</xdr:col>
      <xdr:colOff>113739</xdr:colOff>
      <xdr:row>48</xdr:row>
      <xdr:rowOff>92555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6011333" y="8473722"/>
          <a:ext cx="3980184" cy="31833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16757</xdr:colOff>
      <xdr:row>26</xdr:row>
      <xdr:rowOff>90399</xdr:rowOff>
    </xdr:from>
    <xdr:to>
      <xdr:col>12</xdr:col>
      <xdr:colOff>943682</xdr:colOff>
      <xdr:row>28</xdr:row>
      <xdr:rowOff>154781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481851" y="5722055"/>
          <a:ext cx="1665112" cy="397757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867453</xdr:colOff>
      <xdr:row>46</xdr:row>
      <xdr:rowOff>36854</xdr:rowOff>
    </xdr:from>
    <xdr:to>
      <xdr:col>12</xdr:col>
      <xdr:colOff>913380</xdr:colOff>
      <xdr:row>48</xdr:row>
      <xdr:rowOff>130969</xdr:rowOff>
    </xdr:to>
    <xdr:sp macro="" textlink="">
      <xdr:nvSpPr>
        <xdr:cNvPr id="18" name="Right Arrow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415766" y="9347542"/>
          <a:ext cx="1700895" cy="427490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804774</xdr:colOff>
      <xdr:row>66</xdr:row>
      <xdr:rowOff>69234</xdr:rowOff>
    </xdr:from>
    <xdr:to>
      <xdr:col>12</xdr:col>
      <xdr:colOff>834320</xdr:colOff>
      <xdr:row>68</xdr:row>
      <xdr:rowOff>132733</xdr:rowOff>
    </xdr:to>
    <xdr:sp macro="" textlink="">
      <xdr:nvSpPr>
        <xdr:cNvPr id="20" name="Right Arrow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353087" y="12892265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83</xdr:row>
      <xdr:rowOff>17995</xdr:rowOff>
    </xdr:from>
    <xdr:to>
      <xdr:col>17</xdr:col>
      <xdr:colOff>77258</xdr:colOff>
      <xdr:row>84</xdr:row>
      <xdr:rowOff>84667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 flipV="1">
          <a:off x="9345083" y="4388912"/>
          <a:ext cx="627592" cy="236005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84</xdr:row>
      <xdr:rowOff>84663</xdr:rowOff>
    </xdr:from>
    <xdr:to>
      <xdr:col>18</xdr:col>
      <xdr:colOff>123266</xdr:colOff>
      <xdr:row>86</xdr:row>
      <xdr:rowOff>78441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7312027" y="4624913"/>
          <a:ext cx="3796739" cy="31127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100</xdr:row>
      <xdr:rowOff>17995</xdr:rowOff>
    </xdr:from>
    <xdr:to>
      <xdr:col>17</xdr:col>
      <xdr:colOff>77258</xdr:colOff>
      <xdr:row>101</xdr:row>
      <xdr:rowOff>84667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/>
      </xdr:nvCxnSpPr>
      <xdr:spPr>
        <a:xfrm flipV="1">
          <a:off x="9345083" y="14157328"/>
          <a:ext cx="627592" cy="236006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101</xdr:row>
      <xdr:rowOff>84663</xdr:rowOff>
    </xdr:from>
    <xdr:to>
      <xdr:col>18</xdr:col>
      <xdr:colOff>123266</xdr:colOff>
      <xdr:row>103</xdr:row>
      <xdr:rowOff>78441</xdr:rowOff>
    </xdr:to>
    <xdr:sp macro="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7312027" y="14393330"/>
          <a:ext cx="3796739" cy="31127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871184</xdr:colOff>
      <xdr:row>101</xdr:row>
      <xdr:rowOff>97280</xdr:rowOff>
    </xdr:from>
    <xdr:to>
      <xdr:col>12</xdr:col>
      <xdr:colOff>900730</xdr:colOff>
      <xdr:row>103</xdr:row>
      <xdr:rowOff>160779</xdr:rowOff>
    </xdr:to>
    <xdr:sp macro="" textlink="">
      <xdr:nvSpPr>
        <xdr:cNvPr id="36" name="Right Arrow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6419497" y="20278374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850634</xdr:colOff>
      <xdr:row>84</xdr:row>
      <xdr:rowOff>74083</xdr:rowOff>
    </xdr:from>
    <xdr:to>
      <xdr:col>12</xdr:col>
      <xdr:colOff>880180</xdr:colOff>
      <xdr:row>86</xdr:row>
      <xdr:rowOff>137582</xdr:rowOff>
    </xdr:to>
    <xdr:sp macro="" textlink="">
      <xdr:nvSpPr>
        <xdr:cNvPr id="42" name="Right Arrow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6398947" y="16576146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118</xdr:row>
      <xdr:rowOff>17995</xdr:rowOff>
    </xdr:from>
    <xdr:to>
      <xdr:col>17</xdr:col>
      <xdr:colOff>77258</xdr:colOff>
      <xdr:row>119</xdr:row>
      <xdr:rowOff>84667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9338733" y="21382570"/>
          <a:ext cx="625475" cy="238122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119</xdr:row>
      <xdr:rowOff>84663</xdr:rowOff>
    </xdr:from>
    <xdr:to>
      <xdr:col>18</xdr:col>
      <xdr:colOff>123266</xdr:colOff>
      <xdr:row>121</xdr:row>
      <xdr:rowOff>78441</xdr:rowOff>
    </xdr:to>
    <xdr:sp macro="" textlink="">
      <xdr:nvSpPr>
        <xdr:cNvPr id="7" name="Rounded Rectangle 3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315202" y="21620688"/>
          <a:ext cx="3780864" cy="31762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835465</xdr:colOff>
      <xdr:row>119</xdr:row>
      <xdr:rowOff>97281</xdr:rowOff>
    </xdr:from>
    <xdr:to>
      <xdr:col>12</xdr:col>
      <xdr:colOff>865011</xdr:colOff>
      <xdr:row>121</xdr:row>
      <xdr:rowOff>160780</xdr:rowOff>
    </xdr:to>
    <xdr:sp macro="" textlink="">
      <xdr:nvSpPr>
        <xdr:cNvPr id="9" name="Right Arrow 35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383778" y="23957406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136</xdr:row>
      <xdr:rowOff>17995</xdr:rowOff>
    </xdr:from>
    <xdr:to>
      <xdr:col>17</xdr:col>
      <xdr:colOff>77258</xdr:colOff>
      <xdr:row>137</xdr:row>
      <xdr:rowOff>84667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9338733" y="21382570"/>
          <a:ext cx="625475" cy="238122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137</xdr:row>
      <xdr:rowOff>84663</xdr:rowOff>
    </xdr:from>
    <xdr:to>
      <xdr:col>18</xdr:col>
      <xdr:colOff>123266</xdr:colOff>
      <xdr:row>139</xdr:row>
      <xdr:rowOff>78441</xdr:rowOff>
    </xdr:to>
    <xdr:sp macro="" textlink="">
      <xdr:nvSpPr>
        <xdr:cNvPr id="12" name="Rounded Rectangle 33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202" y="21620688"/>
          <a:ext cx="3780864" cy="31762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752122</xdr:colOff>
      <xdr:row>137</xdr:row>
      <xdr:rowOff>97281</xdr:rowOff>
    </xdr:from>
    <xdr:to>
      <xdr:col>12</xdr:col>
      <xdr:colOff>781668</xdr:colOff>
      <xdr:row>139</xdr:row>
      <xdr:rowOff>160780</xdr:rowOff>
    </xdr:to>
    <xdr:sp macro="" textlink="">
      <xdr:nvSpPr>
        <xdr:cNvPr id="13" name="Right Arrow 35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6300435" y="27636437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eme1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>
          <a:noFill/>
        </a:ln>
      </a:spPr>
      <a:bodyPr rtlCol="0" anchor="ctr"/>
      <a:lstStyle>
        <a:defPPr algn="ctr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noAutofit/>
      </a:bodyPr>
      <a:lstStyle>
        <a:defPPr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  <pageSetUpPr fitToPage="1"/>
  </sheetPr>
  <dimension ref="A1:OF312"/>
  <sheetViews>
    <sheetView showGridLines="0" showRowColHeaders="0" topLeftCell="A66" zoomScale="106" zoomScaleNormal="85" workbookViewId="0">
      <selection activeCell="D13" sqref="D13"/>
    </sheetView>
  </sheetViews>
  <sheetFormatPr defaultColWidth="9.33203125" defaultRowHeight="13.2" x14ac:dyDescent="0.25"/>
  <cols>
    <col min="1" max="1" customWidth="true" style="97" width="5.33203125"/>
    <col min="2" max="2" style="97" width="9.33203125"/>
    <col min="3" max="3" customWidth="true" style="97" width="16.6640625"/>
    <col min="4" max="4" customWidth="true" style="97" width="42.6640625"/>
    <col min="5" max="5" style="97" width="9.33203125"/>
    <col min="6" max="6" bestFit="true" customWidth="true" style="97" width="28.6640625"/>
    <col min="7" max="22" style="97" width="9.33203125"/>
    <col min="23" max="23" customWidth="true" hidden="true" style="97" width="0.0"/>
    <col min="24" max="16384" style="97" width="9.33203125"/>
  </cols>
  <sheetData>
    <row r="1" spans="2:23" ht="21" x14ac:dyDescent="0.25">
      <c r="A1" t="s" s="97">
        <v>89</v>
      </c>
      <c r="B1" s="96"/>
      <c r="C1" s="96"/>
      <c r="W1" s="97">
        <v>1</v>
      </c>
    </row>
    <row r="2" spans="2:23" ht="21" x14ac:dyDescent="0.25">
      <c r="B2" s="96" t="s">
        <v>90</v>
      </c>
      <c r="C2" s="96"/>
      <c r="W2" s="97">
        <v>2</v>
      </c>
    </row>
    <row r="3" spans="2:23" ht="15.6" x14ac:dyDescent="0.25">
      <c r="B3" s="194"/>
      <c r="C3" s="194" t="n">
        <v>999.99</v>
      </c>
      <c r="W3" s="97">
        <v>3</v>
      </c>
    </row>
    <row r="4" spans="2:23" x14ac:dyDescent="0.25">
      <c r="W4" s="97">
        <v>4</v>
      </c>
    </row>
    <row r="5" spans="2:23" ht="6.75" customHeight="1" x14ac:dyDescent="0.3">
      <c r="B5" s="98"/>
      <c r="C5" s="98"/>
      <c r="D5" s="98"/>
      <c r="E5" s="98"/>
      <c r="F5" s="98"/>
      <c r="W5" s="97">
        <v>5</v>
      </c>
    </row>
    <row r="7" spans="2:23" s="99" customFormat="1" ht="15.6" x14ac:dyDescent="0.3">
      <c r="B7" s="155" t="s">
        <v>47</v>
      </c>
      <c r="C7" s="155"/>
      <c r="D7" s="150"/>
      <c r="E7" s="150"/>
      <c r="F7" s="150"/>
    </row>
    <row r="8" spans="2:23" ht="15" x14ac:dyDescent="0.25">
      <c r="E8" s="100" t="s">
        <v>15</v>
      </c>
    </row>
    <row r="9" spans="2:23" s="100" customFormat="1" ht="15.45" customHeight="1" x14ac:dyDescent="0.25">
      <c r="B9" s="189" t="s">
        <v>87</v>
      </c>
      <c r="C9" s="189"/>
      <c r="D9" s="189"/>
      <c r="E9" s="195"/>
      <c r="F9" s="196"/>
    </row>
    <row r="10" spans="2:23" s="100" customFormat="1" ht="4.5" customHeight="1" x14ac:dyDescent="0.25"/>
    <row r="11" spans="2:23" s="100" customFormat="1" ht="15" x14ac:dyDescent="0.25">
      <c r="C11" s="110">
        <v>1000000</v>
      </c>
      <c r="D11" s="101" t="s">
        <v>38</v>
      </c>
    </row>
    <row r="12" spans="2:23" s="100" customFormat="1" ht="15" x14ac:dyDescent="0.25">
      <c r="C12" s="111">
        <v>0.35</v>
      </c>
      <c r="D12" s="101" t="s">
        <v>39</v>
      </c>
    </row>
    <row r="13" spans="2:23" s="100" customFormat="1" ht="15" x14ac:dyDescent="0.25">
      <c r="C13" s="124">
        <v>10</v>
      </c>
      <c r="D13" s="101" t="s">
        <v>7</v>
      </c>
    </row>
    <row r="14" spans="2:23" s="100" customFormat="1" ht="15" x14ac:dyDescent="0.25">
      <c r="C14" s="112" t="s">
        <v>64</v>
      </c>
      <c r="D14" s="101" t="s">
        <v>6</v>
      </c>
    </row>
    <row r="15" spans="2:23" s="100" customFormat="1" ht="15" x14ac:dyDescent="0.25">
      <c r="C15" s="117"/>
      <c r="D15" s="101"/>
    </row>
    <row r="16" spans="2:23" s="100" customFormat="1" ht="15.6" x14ac:dyDescent="0.3">
      <c r="B16" s="156" t="s">
        <v>46</v>
      </c>
      <c r="C16" s="151"/>
      <c r="D16" s="152"/>
      <c r="E16" s="151"/>
      <c r="F16" s="170"/>
    </row>
    <row r="17" spans="2:6" s="100" customFormat="1" ht="15" x14ac:dyDescent="0.25">
      <c r="B17" s="189" t="s">
        <v>88</v>
      </c>
      <c r="C17" s="190"/>
      <c r="D17" s="191"/>
    </row>
    <row r="18" spans="2:6" s="100" customFormat="1" ht="15" x14ac:dyDescent="0.25">
      <c r="C18" s="102"/>
      <c r="D18" s="101"/>
      <c r="E18" s="100" t="s">
        <v>15</v>
      </c>
    </row>
    <row r="19" spans="2:6" s="100" customFormat="1" ht="15" customHeight="1" x14ac:dyDescent="0.25">
      <c r="B19" s="100" t="s">
        <v>66</v>
      </c>
      <c r="E19" s="192"/>
      <c r="F19" s="193"/>
    </row>
    <row r="20" spans="2:6" s="100" customFormat="1" ht="4.5" customHeight="1" x14ac:dyDescent="0.25"/>
    <row r="21" spans="2:6" s="100" customFormat="1" ht="15" x14ac:dyDescent="0.25">
      <c r="C21" s="110">
        <v>1000000</v>
      </c>
      <c r="D21" s="101" t="s">
        <v>38</v>
      </c>
      <c r="E21" s="153">
        <v>1</v>
      </c>
      <c r="F21" s="101" t="s">
        <v>39</v>
      </c>
    </row>
    <row r="22" spans="2:6" s="100" customFormat="1" ht="15" x14ac:dyDescent="0.25">
      <c r="C22" s="124">
        <v>10</v>
      </c>
      <c r="D22" s="101" t="s">
        <v>7</v>
      </c>
    </row>
    <row r="23" spans="2:6" s="100" customFormat="1" ht="15" x14ac:dyDescent="0.25">
      <c r="C23" s="113">
        <v>7</v>
      </c>
      <c r="D23" s="184" t="s">
        <v>65</v>
      </c>
    </row>
    <row r="24" spans="2:6" s="100" customFormat="1" ht="15" x14ac:dyDescent="0.25">
      <c r="C24" s="102"/>
      <c r="D24" s="101"/>
      <c r="E24" s="100" t="s">
        <v>15</v>
      </c>
    </row>
    <row r="25" spans="2:6" s="100" customFormat="1" ht="15" x14ac:dyDescent="0.25">
      <c r="B25" s="100" t="s">
        <v>66</v>
      </c>
      <c r="E25" s="192"/>
      <c r="F25" s="193"/>
    </row>
    <row r="26" spans="2:6" s="100" customFormat="1" ht="4.5" customHeight="1" x14ac:dyDescent="0.25"/>
    <row r="27" spans="2:6" s="100" customFormat="1" ht="15" x14ac:dyDescent="0.25">
      <c r="C27" s="110"/>
      <c r="D27" s="101" t="s">
        <v>38</v>
      </c>
      <c r="E27" s="153"/>
      <c r="F27" s="101" t="s">
        <v>39</v>
      </c>
    </row>
    <row r="28" spans="2:6" s="100" customFormat="1" ht="15" x14ac:dyDescent="0.25">
      <c r="C28" s="124"/>
      <c r="D28" s="101" t="s">
        <v>7</v>
      </c>
    </row>
    <row r="29" spans="2:6" s="100" customFormat="1" ht="15" x14ac:dyDescent="0.25">
      <c r="C29" s="113"/>
      <c r="D29" s="184" t="s">
        <v>65</v>
      </c>
    </row>
    <row r="30" spans="2:6" s="100" customFormat="1" ht="15" x14ac:dyDescent="0.25">
      <c r="C30" s="102"/>
      <c r="D30" s="101"/>
      <c r="E30" s="100" t="s">
        <v>15</v>
      </c>
    </row>
    <row r="31" spans="2:6" s="100" customFormat="1" ht="15" x14ac:dyDescent="0.25">
      <c r="B31" s="100" t="s">
        <v>67</v>
      </c>
      <c r="E31" s="192"/>
      <c r="F31" s="193"/>
    </row>
    <row r="32" spans="2:6" s="100" customFormat="1" ht="4.5" customHeight="1" x14ac:dyDescent="0.25"/>
    <row r="33" spans="2:7" s="100" customFormat="1" ht="15" x14ac:dyDescent="0.25">
      <c r="C33" s="110"/>
      <c r="D33" s="101" t="s">
        <v>38</v>
      </c>
      <c r="E33" s="153"/>
      <c r="F33" s="101" t="s">
        <v>39</v>
      </c>
    </row>
    <row r="34" spans="2:7" s="100" customFormat="1" ht="15" x14ac:dyDescent="0.25">
      <c r="C34" s="124"/>
      <c r="D34" s="101" t="s">
        <v>7</v>
      </c>
    </row>
    <row r="35" spans="2:7" s="100" customFormat="1" ht="15" x14ac:dyDescent="0.25">
      <c r="C35" s="113"/>
      <c r="D35" s="184" t="s">
        <v>65</v>
      </c>
    </row>
    <row r="36" spans="2:7" ht="15" x14ac:dyDescent="0.25">
      <c r="B36" s="100"/>
      <c r="C36" s="102"/>
      <c r="D36" s="101"/>
      <c r="E36" s="100" t="s">
        <v>15</v>
      </c>
      <c r="F36" s="100"/>
    </row>
    <row r="37" spans="2:7" ht="15" x14ac:dyDescent="0.25">
      <c r="B37" s="100" t="s">
        <v>68</v>
      </c>
      <c r="C37" s="100"/>
      <c r="D37" s="100"/>
      <c r="E37" s="192"/>
      <c r="F37" s="193"/>
    </row>
    <row r="38" spans="2:7" ht="5.25" customHeight="1" x14ac:dyDescent="0.25">
      <c r="B38" s="100"/>
      <c r="C38" s="100"/>
      <c r="D38" s="100"/>
      <c r="E38" s="100"/>
      <c r="F38" s="100"/>
    </row>
    <row r="39" spans="2:7" ht="15" x14ac:dyDescent="0.25">
      <c r="B39" s="100"/>
      <c r="C39" s="110"/>
      <c r="D39" s="101" t="s">
        <v>38</v>
      </c>
      <c r="E39" s="153"/>
      <c r="F39" s="101" t="s">
        <v>39</v>
      </c>
    </row>
    <row r="40" spans="2:7" ht="15" x14ac:dyDescent="0.25">
      <c r="B40" s="100"/>
      <c r="C40" s="124"/>
      <c r="D40" s="101" t="s">
        <v>7</v>
      </c>
      <c r="E40" s="100"/>
      <c r="F40" s="100"/>
    </row>
    <row r="41" spans="2:7" ht="15" x14ac:dyDescent="0.25">
      <c r="B41" s="100"/>
      <c r="C41" s="113"/>
      <c r="D41" s="184" t="s">
        <v>65</v>
      </c>
      <c r="E41" s="100"/>
      <c r="F41" s="100"/>
    </row>
    <row r="42" spans="2:7" ht="15" x14ac:dyDescent="0.25">
      <c r="B42" s="100"/>
      <c r="C42" s="102"/>
      <c r="D42" s="101"/>
      <c r="E42" s="100" t="s">
        <v>15</v>
      </c>
      <c r="F42" s="100"/>
    </row>
    <row r="43" spans="2:7" ht="15" x14ac:dyDescent="0.25">
      <c r="B43" s="100" t="s">
        <v>69</v>
      </c>
      <c r="C43" s="100"/>
      <c r="D43" s="100"/>
      <c r="E43" s="192"/>
      <c r="F43" s="193"/>
    </row>
    <row r="44" spans="2:7" ht="6" customHeight="1" x14ac:dyDescent="0.25">
      <c r="B44" s="100"/>
      <c r="C44" s="100"/>
      <c r="D44" s="100"/>
      <c r="E44" s="100"/>
      <c r="F44" s="100"/>
    </row>
    <row r="45" spans="2:7" s="100" customFormat="1" ht="15" x14ac:dyDescent="0.25">
      <c r="C45" s="110"/>
      <c r="D45" s="101" t="s">
        <v>38</v>
      </c>
      <c r="E45" s="153"/>
      <c r="F45" s="101" t="s">
        <v>39</v>
      </c>
    </row>
    <row r="46" spans="2:7" s="100" customFormat="1" ht="15" x14ac:dyDescent="0.25">
      <c r="C46" s="124"/>
      <c r="D46" s="101" t="s">
        <v>7</v>
      </c>
    </row>
    <row r="47" spans="2:7" s="100" customFormat="1" ht="15" x14ac:dyDescent="0.25">
      <c r="C47" s="113"/>
      <c r="D47" s="184" t="s">
        <v>65</v>
      </c>
    </row>
    <row r="48" spans="2:7" s="100" customFormat="1" ht="15" x14ac:dyDescent="0.25">
      <c r="C48" s="102"/>
      <c r="D48" s="101"/>
      <c r="E48" s="100" t="s">
        <v>15</v>
      </c>
      <c r="G48" s="97"/>
    </row>
    <row r="49" spans="2:212" s="100" customFormat="1" ht="15" x14ac:dyDescent="0.25">
      <c r="B49" s="100" t="s">
        <v>70</v>
      </c>
      <c r="E49" s="192"/>
      <c r="F49" s="193"/>
      <c r="G49" s="97"/>
    </row>
    <row r="50" spans="2:212" ht="15" x14ac:dyDescent="0.25">
      <c r="B50" s="100"/>
      <c r="C50" s="100"/>
      <c r="D50" s="100"/>
      <c r="E50" s="100"/>
      <c r="F50" s="100"/>
    </row>
    <row r="51" spans="2:212" ht="15" x14ac:dyDescent="0.25">
      <c r="B51" s="100"/>
      <c r="C51" s="110"/>
      <c r="D51" s="101" t="s">
        <v>38</v>
      </c>
      <c r="E51" s="153"/>
      <c r="F51" s="101" t="s">
        <v>39</v>
      </c>
      <c r="G51" s="100"/>
    </row>
    <row r="52" spans="2:212" ht="15" x14ac:dyDescent="0.25">
      <c r="B52" s="100"/>
      <c r="C52" s="124"/>
      <c r="D52" s="101" t="s">
        <v>7</v>
      </c>
      <c r="E52" s="100"/>
      <c r="F52" s="100"/>
      <c r="G52" s="100"/>
    </row>
    <row r="53" spans="2:212" ht="15" x14ac:dyDescent="0.25">
      <c r="B53" s="100"/>
      <c r="C53" s="113"/>
      <c r="D53" s="184" t="s">
        <v>65</v>
      </c>
      <c r="E53" s="100"/>
      <c r="F53" s="100"/>
      <c r="G53" s="100"/>
    </row>
    <row r="54" spans="2:212" ht="15" x14ac:dyDescent="0.25">
      <c r="B54" s="100"/>
      <c r="C54" s="102"/>
      <c r="D54" s="101"/>
      <c r="E54" s="100" t="s">
        <v>15</v>
      </c>
      <c r="F54" s="100"/>
    </row>
    <row r="55" spans="2:212" ht="15" x14ac:dyDescent="0.25">
      <c r="B55" s="100" t="s">
        <v>71</v>
      </c>
      <c r="C55" s="100"/>
      <c r="D55" s="100"/>
      <c r="E55" s="192"/>
      <c r="F55" s="193"/>
      <c r="H55" s="100"/>
    </row>
    <row r="56" spans="2:212" ht="15" x14ac:dyDescent="0.25">
      <c r="B56" s="100"/>
      <c r="C56" s="100"/>
      <c r="D56" s="100"/>
      <c r="E56" s="100"/>
      <c r="F56" s="100"/>
      <c r="H56" s="100"/>
    </row>
    <row r="57" spans="2:212" ht="15" x14ac:dyDescent="0.25">
      <c r="B57" s="100"/>
      <c r="C57" s="110"/>
      <c r="D57" s="101" t="s">
        <v>38</v>
      </c>
      <c r="E57" s="153"/>
      <c r="F57" s="101" t="s">
        <v>39</v>
      </c>
      <c r="G57" s="100"/>
      <c r="H57" s="100"/>
    </row>
    <row r="58" spans="2:212" ht="15" x14ac:dyDescent="0.25">
      <c r="B58" s="100"/>
      <c r="C58" s="124"/>
      <c r="D58" s="101" t="s">
        <v>7</v>
      </c>
      <c r="E58" s="100"/>
      <c r="F58" s="100"/>
      <c r="G58" s="100"/>
      <c r="H58" s="100"/>
    </row>
    <row r="59" spans="2:212" ht="15" x14ac:dyDescent="0.25">
      <c r="B59" s="100"/>
      <c r="C59" s="113"/>
      <c r="D59" s="184" t="s">
        <v>65</v>
      </c>
      <c r="E59" s="100"/>
      <c r="F59" s="100"/>
      <c r="G59" s="100"/>
      <c r="H59" s="100"/>
    </row>
    <row r="60" spans="2:212" ht="15" x14ac:dyDescent="0.25">
      <c r="B60" s="100"/>
      <c r="C60" s="100"/>
      <c r="D60" s="100"/>
      <c r="E60" s="100"/>
      <c r="F60" s="100"/>
      <c r="G60" s="100"/>
      <c r="H60" s="100"/>
    </row>
    <row r="61" spans="2:212" ht="15.6" x14ac:dyDescent="0.3">
      <c r="B61" s="100"/>
      <c r="C61" s="102"/>
      <c r="D61" s="101"/>
      <c r="E61" s="169">
        <f>+E21+E27+E33+E39+E45+E51+E57</f>
        <v>1</v>
      </c>
      <c r="F61" s="103" t="s">
        <v>14</v>
      </c>
      <c r="G61" s="100"/>
      <c r="H61" s="100"/>
    </row>
    <row r="62" spans="2:212" ht="15.6" x14ac:dyDescent="0.3">
      <c r="B62" s="100"/>
      <c r="C62" s="102"/>
      <c r="D62" s="101"/>
      <c r="E62" s="154"/>
      <c r="F62" s="103"/>
      <c r="G62" s="100"/>
      <c r="H62" s="100"/>
    </row>
    <row r="63" spans="2:212" ht="15.6" x14ac:dyDescent="0.3">
      <c r="B63" s="172" t="s">
        <v>59</v>
      </c>
      <c r="C63" s="173"/>
      <c r="D63" s="173"/>
      <c r="E63" s="173"/>
      <c r="F63" s="174"/>
      <c r="G63" s="100"/>
      <c r="H63" s="100"/>
      <c r="HB63" s="100"/>
      <c r="HC63" s="100"/>
      <c r="HD63" s="100"/>
    </row>
    <row r="64" spans="2:212" ht="15.6" x14ac:dyDescent="0.3">
      <c r="B64" s="175" t="s">
        <v>32</v>
      </c>
      <c r="C64" s="176"/>
      <c r="D64" s="176"/>
      <c r="E64" s="176"/>
      <c r="F64" s="177"/>
      <c r="G64" s="100"/>
      <c r="HB64" s="100"/>
      <c r="HC64" s="100"/>
      <c r="HD64" s="100">
        <v>5</v>
      </c>
    </row>
    <row r="65" spans="2:212" ht="15.6" x14ac:dyDescent="0.3">
      <c r="B65" s="98"/>
      <c r="C65" s="100"/>
      <c r="D65" s="100"/>
      <c r="E65" s="100"/>
      <c r="F65" s="100"/>
      <c r="G65" s="100"/>
      <c r="HB65" s="100"/>
      <c r="HC65" s="100"/>
      <c r="HD65" s="100">
        <v>5</v>
      </c>
    </row>
    <row r="66" spans="2:212" ht="15" x14ac:dyDescent="0.25">
      <c r="B66" s="101" t="s">
        <v>60</v>
      </c>
      <c r="C66" s="100"/>
      <c r="D66" s="100"/>
      <c r="E66" s="100" t="str">
        <f>IF(E61&gt;1,"***Values entered do not equal 100%***"," ")</f>
        <v xml:space="preserve"> </v>
      </c>
      <c r="F66" s="100"/>
      <c r="G66" s="100"/>
      <c r="HB66" s="100"/>
      <c r="HC66" s="100">
        <v>5</v>
      </c>
      <c r="HD66" s="145">
        <v>5</v>
      </c>
    </row>
    <row r="67" spans="2:212" ht="15" x14ac:dyDescent="0.25">
      <c r="B67" s="100"/>
      <c r="C67" s="143">
        <v>0.25</v>
      </c>
      <c r="D67" s="100"/>
      <c r="E67" s="100"/>
      <c r="F67" s="100"/>
      <c r="G67" s="100"/>
      <c r="HB67" s="100"/>
      <c r="HC67" s="100"/>
      <c r="HD67" s="100">
        <v>5</v>
      </c>
    </row>
    <row r="68" spans="2:212" ht="15" x14ac:dyDescent="0.25">
      <c r="B68" s="100"/>
      <c r="C68" s="102"/>
      <c r="D68" s="100"/>
      <c r="E68" s="100"/>
      <c r="F68" s="100"/>
      <c r="G68" s="100"/>
      <c r="HB68" s="100"/>
      <c r="HC68" s="100"/>
      <c r="HD68" s="100"/>
    </row>
    <row r="69" spans="2:212" ht="15" x14ac:dyDescent="0.25">
      <c r="B69" s="100" t="s">
        <v>61</v>
      </c>
      <c r="C69" s="100"/>
      <c r="D69" s="100"/>
      <c r="E69" s="100"/>
      <c r="F69" s="100"/>
      <c r="G69" s="100"/>
    </row>
    <row r="70" spans="2:212" ht="15" x14ac:dyDescent="0.25">
      <c r="B70" s="100"/>
      <c r="C70" s="171">
        <v>1000000</v>
      </c>
      <c r="D70" s="100" t="s">
        <v>61</v>
      </c>
      <c r="E70" s="100"/>
      <c r="F70" s="100"/>
    </row>
    <row r="71" spans="2:212" ht="15" x14ac:dyDescent="0.25">
      <c r="B71" s="100"/>
      <c r="C71" s="141">
        <f>Departing!H$16</f>
        <v>1270000</v>
      </c>
      <c r="D71" s="100" t="s">
        <v>62</v>
      </c>
      <c r="E71" s="100"/>
      <c r="F71" s="100"/>
      <c r="G71" s="100"/>
    </row>
    <row r="72" spans="2:212" ht="15" x14ac:dyDescent="0.25">
      <c r="C72" s="114">
        <f>IF(C70&gt;0,C70,Departing!H16)</f>
        <v>1000000</v>
      </c>
      <c r="D72" s="100" t="s">
        <v>63</v>
      </c>
    </row>
    <row r="73" spans="2:212" ht="15" x14ac:dyDescent="0.25">
      <c r="C73" s="144"/>
      <c r="D73" s="100"/>
    </row>
    <row r="75" spans="2:212" ht="15" x14ac:dyDescent="0.25">
      <c r="C75" s="142">
        <v>0</v>
      </c>
      <c r="D75" s="100"/>
    </row>
    <row r="76" spans="2:212" x14ac:dyDescent="0.25">
      <c r="C76" s="99"/>
      <c r="D76" s="99"/>
      <c r="E76" s="99"/>
      <c r="F76" s="99"/>
    </row>
    <row r="82" spans="3:6" x14ac:dyDescent="0.25">
      <c r="C82" s="99"/>
      <c r="E82" s="99"/>
      <c r="F82" s="99"/>
    </row>
    <row r="312" spans="396:396" ht="15" x14ac:dyDescent="0.25">
      <c r="OF312" s="100">
        <v>5</v>
      </c>
    </row>
  </sheetData>
  <sheetProtection formatCells="0" formatColumns="0" formatRows="0" insertColumns="0" insertRows="0" deleteColumns="0" deleteRows="0"/>
  <protectedRanges>
    <protectedRange sqref="E19 E9 E25 E31 E37 E43 E49 E55" name="Rep 1"/>
  </protectedRanges>
  <mergeCells count="9">
    <mergeCell ref="E49:F49"/>
    <mergeCell ref="E55:F55"/>
    <mergeCell ref="E37:F37"/>
    <mergeCell ref="E43:F43"/>
    <mergeCell ref="B3:C3"/>
    <mergeCell ref="E9:F9"/>
    <mergeCell ref="E19:F19"/>
    <mergeCell ref="E25:F25"/>
    <mergeCell ref="E31:F31"/>
  </mergeCells>
  <conditionalFormatting sqref="F61:F62">
    <cfRule type="cellIs" dxfId="2" priority="9" operator="equal">
      <formula>100</formula>
    </cfRule>
  </conditionalFormatting>
  <conditionalFormatting sqref="E61:E62">
    <cfRule type="cellIs" dxfId="1" priority="1" operator="equal">
      <formula>1</formula>
    </cfRule>
    <cfRule type="cellIs" dxfId="0" priority="4" operator="lessThan">
      <formula>100</formula>
    </cfRule>
  </conditionalFormatting>
  <dataValidations count="4">
    <dataValidation type="list" showInputMessage="1" showErrorMessage="1" sqref="HD66" xr:uid="{00000000-0002-0000-0100-000000000000}">
      <formula1>"1,2,3,4,5"</formula1>
    </dataValidation>
    <dataValidation type="list" allowBlank="1" showInputMessage="1" showErrorMessage="1" sqref="C14" xr:uid="{00000000-0002-0000-0100-000001000000}">
      <formula1>"Yes,No"</formula1>
    </dataValidation>
    <dataValidation type="whole" operator="greaterThanOrEqual" allowBlank="1" showInputMessage="1" showErrorMessage="1" sqref="C22 C52 C28 C34 C40 C46 C24:C26 C30:C32 C36:C38 C42:C44 C48:C50 C54:C56 C58" xr:uid="{00000000-0002-0000-0100-000002000000}">
      <formula1>0</formula1>
    </dataValidation>
    <dataValidation type="list" operator="greaterThanOrEqual" allowBlank="1" showInputMessage="1" showErrorMessage="1" sqref="C23 C35 C29 C47 C53 C59 C41" xr:uid="{0C380358-6D18-4DCA-A144-38809C4E6D46}">
      <formula1>"1,2,3,4,5,6,7"</formula1>
    </dataValidation>
  </dataValidations>
  <pageMargins left="0.25" right="0.25" top="0.5" bottom="0.75" header="0.05" footer="0.3"/>
  <pageSetup scale="64" orientation="landscape" r:id="rId1"/>
  <rowBreaks count="1" manualBreakCount="1">
    <brk id="67" min="1" max="5" man="1"/>
  </rowBreaks>
  <ignoredErrors>
    <ignoredError sqref="B35" unlockedFormula="1"/>
  </ignoredErrors>
  <drawing r:id="rId2"/>
  <legacyDrawing r:id="rId3"/>
  <mc:AlternateContent>
    <mc:Choice Requires="x14">
      <controls>
        <mc:AlternateContent>
          <mc:Choice Requires="x14">
            <control shapeId="1026" r:id="rId4" name="Drop Down 2">
              <controlPr defaultSize="0" autoLine="0" autoPict="0" macro="[0]!inputDropdown">
                <anchor moveWithCells="1">
                  <from>
                    <xdr:col>208</xdr:col>
                    <xdr:colOff>510540</xdr:colOff>
                    <xdr:row>63</xdr:row>
                    <xdr:rowOff>22860</xdr:rowOff>
                  </from>
                  <to>
                    <xdr:col>211</xdr:col>
                    <xdr:colOff>594360</xdr:colOff>
                    <xdr:row>64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306A"/>
    <pageSetUpPr fitToPage="1"/>
  </sheetPr>
  <dimension ref="B1:R40"/>
  <sheetViews>
    <sheetView showGridLines="0" showRowColHeaders="0" topLeftCell="A4" zoomScaleNormal="100" workbookViewId="0">
      <selection activeCell="G14" sqref="G14"/>
    </sheetView>
  </sheetViews>
  <sheetFormatPr defaultColWidth="9.33203125" defaultRowHeight="13.2" x14ac:dyDescent="0.25"/>
  <cols>
    <col min="1" max="1" customWidth="true" style="39" width="2.109375"/>
    <col min="2" max="2" customWidth="true" style="39" width="3.33203125"/>
    <col min="3" max="3" customWidth="true" style="39" width="33.0"/>
    <col min="4" max="4" customWidth="true" style="39" width="6.6640625"/>
    <col min="5" max="5" customWidth="true" style="39" width="19.6640625"/>
    <col min="6" max="6" customWidth="true" style="39" width="6.6640625"/>
    <col min="7" max="7" customWidth="true" style="39" width="19.6640625"/>
    <col min="8" max="8" customWidth="true" style="39" width="16.6640625"/>
    <col min="9" max="9" customWidth="true" style="39" width="4.0"/>
    <col min="10" max="11" style="39" width="9.33203125"/>
    <col min="12" max="12" customWidth="true" style="39" width="15.44140625"/>
    <col min="13" max="13" customWidth="true" style="39" width="16.44140625"/>
    <col min="14" max="16" customWidth="true" style="39" width="11.44140625"/>
    <col min="17" max="16384" style="39" width="9.33203125"/>
  </cols>
  <sheetData>
    <row r="1" spans="2:18" s="38" customFormat="1" ht="21" x14ac:dyDescent="0.25">
      <c r="B1" s="73"/>
      <c r="C1" s="73"/>
      <c r="D1" s="73"/>
      <c r="E1" s="73"/>
      <c r="F1" s="74"/>
      <c r="G1" s="74"/>
      <c r="H1" s="75"/>
    </row>
    <row r="2" spans="2:18" s="38" customFormat="1" ht="21" x14ac:dyDescent="0.25">
      <c r="B2" s="73" t="s">
        <v>45</v>
      </c>
      <c r="C2" s="73"/>
      <c r="D2" s="73"/>
      <c r="E2" s="73"/>
      <c r="F2" s="74"/>
      <c r="G2" s="74"/>
      <c r="H2" s="75"/>
    </row>
    <row r="3" spans="2:18" s="38" customFormat="1" ht="21" x14ac:dyDescent="0.25">
      <c r="B3" s="198"/>
      <c r="C3" s="198"/>
      <c r="D3" s="76"/>
      <c r="E3" s="76"/>
      <c r="F3" s="76"/>
      <c r="G3" s="76"/>
      <c r="H3" s="76"/>
    </row>
    <row r="4" spans="2:18" s="38" customFormat="1" ht="18.75" customHeight="1" x14ac:dyDescent="0.25">
      <c r="C4" s="73"/>
      <c r="D4" s="77"/>
      <c r="E4" s="73"/>
    </row>
    <row r="5" spans="2:18" s="38" customFormat="1" ht="6.75" customHeight="1" x14ac:dyDescent="0.3">
      <c r="B5" s="71"/>
      <c r="C5" s="71"/>
      <c r="D5" s="71"/>
      <c r="E5" s="71"/>
      <c r="F5" s="71"/>
      <c r="G5" s="71"/>
      <c r="H5" s="71"/>
      <c r="I5" s="71"/>
    </row>
    <row r="6" spans="2:18" s="38" customFormat="1" x14ac:dyDescent="0.25"/>
    <row r="7" spans="2:18" ht="15.75" customHeight="1" x14ac:dyDescent="0.3">
      <c r="B7" s="157" t="s">
        <v>44</v>
      </c>
      <c r="C7" s="158"/>
      <c r="D7" s="159"/>
      <c r="E7" s="159"/>
      <c r="F7" s="159"/>
      <c r="G7" s="159"/>
      <c r="H7" s="159"/>
      <c r="I7" s="159"/>
      <c r="J7" s="159"/>
    </row>
    <row r="8" spans="2:18" s="80" customFormat="1" ht="24" customHeight="1" x14ac:dyDescent="0.25">
      <c r="B8" s="78"/>
      <c r="C8" s="78" t="s">
        <v>34</v>
      </c>
      <c r="D8" s="78"/>
      <c r="E8" s="79">
        <f>Inputs!C11</f>
        <v>1000000</v>
      </c>
      <c r="G8" s="183"/>
      <c r="H8" s="81"/>
      <c r="I8" s="81"/>
    </row>
    <row r="9" spans="2:18" s="80" customFormat="1" ht="24" hidden="1" customHeight="1" x14ac:dyDescent="0.25">
      <c r="B9" s="78"/>
      <c r="C9" s="78" t="s">
        <v>12</v>
      </c>
      <c r="D9" s="78"/>
      <c r="E9" s="79">
        <f>Inputs!$C$21+Inputs!C27+Inputs!C33</f>
        <v>1000000</v>
      </c>
      <c r="H9" s="81"/>
      <c r="I9" s="81"/>
    </row>
    <row r="10" spans="2:18" s="38" customFormat="1" ht="21.75" customHeight="1" x14ac:dyDescent="0.3">
      <c r="B10" s="82"/>
      <c r="C10" s="78" t="s">
        <v>43</v>
      </c>
      <c r="D10" s="78"/>
      <c r="E10" s="79">
        <f>Inputs!$C$13</f>
        <v>10</v>
      </c>
      <c r="F10" s="80"/>
      <c r="G10" s="89"/>
      <c r="H10" s="120"/>
      <c r="I10" s="83"/>
    </row>
    <row r="11" spans="2:18" ht="15.6" x14ac:dyDescent="0.3">
      <c r="B11" s="160" t="s">
        <v>42</v>
      </c>
      <c r="C11" s="160"/>
      <c r="D11" s="161"/>
      <c r="E11" s="161"/>
      <c r="F11" s="161"/>
      <c r="G11" s="161"/>
      <c r="H11" s="161"/>
      <c r="I11" s="161"/>
      <c r="J11" s="161"/>
    </row>
    <row r="12" spans="2:18" s="38" customFormat="1" ht="24" customHeight="1" thickBot="1" x14ac:dyDescent="0.3">
      <c r="B12" s="82"/>
      <c r="C12" s="84"/>
      <c r="D12" s="84"/>
      <c r="E12" s="84"/>
      <c r="F12" s="85"/>
      <c r="G12" s="86" t="s">
        <v>39</v>
      </c>
      <c r="H12" s="87" t="s">
        <v>8</v>
      </c>
      <c r="I12" s="88"/>
    </row>
    <row r="13" spans="2:18" s="80" customFormat="1" ht="24" customHeight="1" x14ac:dyDescent="0.25">
      <c r="C13" s="78" t="s">
        <v>42</v>
      </c>
      <c r="D13" s="78"/>
      <c r="E13" s="79">
        <f>E8</f>
        <v>1000000</v>
      </c>
      <c r="G13" s="89">
        <f>LOOKUP($E$13,Lookups!$AL$46:$AL$50,Lookups!$AN$46:$AN$50)</f>
        <v>1</v>
      </c>
      <c r="H13" s="120">
        <f>$E$13*G13</f>
        <v>1000000</v>
      </c>
      <c r="I13" s="89"/>
    </row>
    <row r="14" spans="2:18" s="80" customFormat="1" ht="24" customHeight="1" x14ac:dyDescent="0.25">
      <c r="C14" s="78" t="s">
        <v>8</v>
      </c>
      <c r="D14" s="78"/>
      <c r="E14" s="90">
        <f>Inputs!$C$12</f>
        <v>0.35</v>
      </c>
      <c r="G14" s="89">
        <f>ROUNDDOWN((LOOKUP($E$13,Lookups!$AL$46:$AL$50,Lookups!$AO$46:$AO$50)),2)</f>
        <v>0.17</v>
      </c>
      <c r="H14" s="120">
        <f>$E$13*G14</f>
        <v>170000</v>
      </c>
      <c r="I14" s="89"/>
    </row>
    <row r="15" spans="2:18" s="80" customFormat="1" ht="24" customHeight="1" x14ac:dyDescent="0.25">
      <c r="C15" s="78" t="s">
        <v>6</v>
      </c>
      <c r="D15" s="78"/>
      <c r="E15" s="91" t="str">
        <f>Inputs!C14</f>
        <v>Yes</v>
      </c>
      <c r="G15" s="89">
        <f>LOOKUP($E$13,Lookups!$AL$46:$AL$50,Lookups!$AQ$46:$AQ$50)</f>
        <v>0.1</v>
      </c>
      <c r="H15" s="120">
        <f t="shared" ref="H15" si="0">$E$13*G15</f>
        <v>100000</v>
      </c>
      <c r="I15" s="89"/>
    </row>
    <row r="16" spans="2:18" s="80" customFormat="1" ht="24" customHeight="1" thickBot="1" x14ac:dyDescent="0.3">
      <c r="C16" s="78" t="s">
        <v>34</v>
      </c>
      <c r="D16" s="78"/>
      <c r="E16" s="78"/>
      <c r="F16" s="79"/>
      <c r="G16" s="104">
        <f>SUM(G13:G15)</f>
        <v>1.27</v>
      </c>
      <c r="H16" s="92">
        <f>SUM(H13:H15)</f>
        <v>1270000</v>
      </c>
      <c r="I16" s="89"/>
      <c r="K16" s="39"/>
      <c r="L16" s="39"/>
      <c r="M16" s="39"/>
      <c r="N16" s="39"/>
      <c r="O16" s="39"/>
      <c r="P16" s="39"/>
      <c r="Q16" s="39"/>
      <c r="R16" s="39"/>
    </row>
    <row r="17" spans="3:18" s="80" customFormat="1" ht="24" customHeight="1" thickTop="1" x14ac:dyDescent="0.25">
      <c r="I17" s="89"/>
      <c r="K17" s="39"/>
      <c r="L17" s="39"/>
      <c r="M17" s="39"/>
      <c r="N17" s="39"/>
      <c r="O17" s="39"/>
      <c r="P17" s="39"/>
      <c r="Q17" s="39"/>
      <c r="R17" s="39"/>
    </row>
    <row r="18" spans="3:18" s="80" customFormat="1" ht="24" customHeight="1" x14ac:dyDescent="0.25">
      <c r="C18" s="78" t="s">
        <v>72</v>
      </c>
      <c r="D18" s="78"/>
      <c r="E18" s="121" t="str">
        <f>IF(AND(E13&gt;499999,E10&gt;9), "+", " ")</f>
        <v>+</v>
      </c>
      <c r="F18" s="78"/>
      <c r="G18" s="122">
        <f>IF($E$13&gt;4999999,50%,IF($E$13&gt;3499999,35%,IF($E$13&gt;2499999,30%,IF($E$13&gt;1499999,25%,IF($E$13&gt;999999,15%,IF($E$13&gt;499999,10%,IF($E$13&lt;499999,0%,)))))))*AND(E10&gt;9)</f>
        <v>0.15</v>
      </c>
      <c r="H18" s="119">
        <f>G18*E8</f>
        <v>150000</v>
      </c>
      <c r="I18" s="89"/>
      <c r="K18" s="39"/>
      <c r="L18" s="39"/>
      <c r="M18" s="39"/>
      <c r="N18" s="39"/>
      <c r="O18" s="39"/>
      <c r="P18" s="39"/>
      <c r="Q18" s="39"/>
      <c r="R18" s="39"/>
    </row>
    <row r="19" spans="3:18" s="38" customFormat="1" ht="21" customHeight="1" thickBot="1" x14ac:dyDescent="0.3">
      <c r="C19" s="78" t="s">
        <v>42</v>
      </c>
      <c r="D19" s="78"/>
      <c r="E19" s="78"/>
      <c r="F19" s="79"/>
      <c r="G19" s="104">
        <f>SUM(G18+G16)</f>
        <v>1.42</v>
      </c>
      <c r="H19" s="92">
        <f>H$18+H$16</f>
        <v>1420000</v>
      </c>
      <c r="I19" s="95"/>
      <c r="K19" s="39"/>
      <c r="L19" s="39"/>
      <c r="M19" s="39"/>
      <c r="N19" s="39"/>
      <c r="O19" s="39"/>
      <c r="P19" s="39"/>
      <c r="Q19" s="39"/>
      <c r="R19" s="39"/>
    </row>
    <row r="20" spans="3:18" s="38" customFormat="1" ht="21" customHeight="1" thickTop="1" x14ac:dyDescent="0.25">
      <c r="C20" s="78"/>
      <c r="D20" s="78"/>
      <c r="E20" s="78"/>
      <c r="F20" s="79"/>
      <c r="G20" s="89"/>
      <c r="H20" s="118"/>
      <c r="I20" s="95"/>
      <c r="K20" s="39"/>
      <c r="L20" s="39"/>
      <c r="M20" s="39"/>
      <c r="N20" s="39"/>
      <c r="O20" s="39"/>
      <c r="P20" s="39"/>
      <c r="Q20" s="39"/>
      <c r="R20" s="39"/>
    </row>
    <row r="21" spans="3:18" s="38" customFormat="1" ht="15.75" customHeight="1" x14ac:dyDescent="0.3">
      <c r="C21" s="82"/>
      <c r="D21" s="71"/>
      <c r="E21" s="71"/>
      <c r="F21" s="93"/>
      <c r="G21" s="93"/>
      <c r="H21" s="94"/>
      <c r="I21" s="95"/>
      <c r="K21" s="39"/>
      <c r="L21" s="39"/>
      <c r="M21" s="39"/>
      <c r="N21" s="39"/>
      <c r="O21" s="39"/>
      <c r="P21" s="39"/>
      <c r="Q21" s="39"/>
      <c r="R21" s="39"/>
    </row>
    <row r="22" spans="3:18" s="38" customFormat="1" ht="15.75" customHeight="1" x14ac:dyDescent="0.3">
      <c r="C22" s="82"/>
      <c r="D22" s="71"/>
      <c r="E22" s="71"/>
      <c r="F22" s="93"/>
      <c r="G22" s="93"/>
      <c r="H22" s="94"/>
      <c r="I22" s="95"/>
      <c r="K22" s="39"/>
      <c r="L22" s="39"/>
      <c r="M22" s="39"/>
      <c r="N22" s="39"/>
      <c r="O22" s="39"/>
      <c r="P22" s="39"/>
      <c r="Q22" s="39"/>
      <c r="R22" s="39"/>
    </row>
    <row r="23" spans="3:18" s="38" customFormat="1" ht="15.75" customHeight="1" x14ac:dyDescent="0.3">
      <c r="C23" s="82"/>
      <c r="D23" s="71"/>
      <c r="E23" s="71"/>
      <c r="F23" s="93"/>
      <c r="G23" s="93"/>
      <c r="H23" s="94"/>
      <c r="I23" s="95"/>
      <c r="K23" s="39"/>
      <c r="L23" s="39"/>
      <c r="M23" s="39"/>
      <c r="N23" s="39"/>
      <c r="O23" s="39"/>
      <c r="P23" s="39"/>
      <c r="Q23" s="39"/>
      <c r="R23" s="39"/>
    </row>
    <row r="24" spans="3:18" s="38" customFormat="1" ht="15.75" customHeight="1" x14ac:dyDescent="0.3">
      <c r="C24" s="82"/>
      <c r="D24" s="71"/>
      <c r="E24" s="71"/>
      <c r="F24" s="93"/>
      <c r="G24" s="93"/>
      <c r="H24" s="180"/>
      <c r="I24" s="181"/>
      <c r="J24" s="182"/>
      <c r="K24" s="39"/>
      <c r="L24" s="39"/>
      <c r="M24" s="39"/>
      <c r="N24" s="39"/>
      <c r="O24" s="39"/>
      <c r="P24" s="39"/>
      <c r="Q24" s="39"/>
      <c r="R24" s="39"/>
    </row>
    <row r="25" spans="3:18" s="38" customFormat="1" ht="15.75" customHeight="1" x14ac:dyDescent="0.3">
      <c r="C25" s="82"/>
      <c r="D25" s="71"/>
      <c r="E25" s="71"/>
      <c r="F25" s="93"/>
      <c r="G25" s="93"/>
      <c r="H25" s="94"/>
      <c r="I25" s="95"/>
      <c r="K25" s="39"/>
      <c r="L25" s="39"/>
      <c r="M25" s="39"/>
      <c r="N25" s="39"/>
      <c r="O25" s="39"/>
      <c r="P25" s="39"/>
      <c r="Q25" s="39"/>
      <c r="R25" s="39"/>
    </row>
    <row r="26" spans="3:18" s="38" customFormat="1" ht="15.75" customHeight="1" x14ac:dyDescent="0.35">
      <c r="C26" s="82"/>
      <c r="D26" s="71"/>
      <c r="E26" s="71"/>
      <c r="F26" s="93"/>
      <c r="G26" s="93"/>
      <c r="H26" s="94"/>
      <c r="I26" s="95"/>
      <c r="K26" s="39"/>
      <c r="L26" s="179"/>
      <c r="M26" s="39"/>
      <c r="N26" s="39"/>
      <c r="O26" s="39"/>
      <c r="P26" s="39"/>
      <c r="Q26" s="39"/>
      <c r="R26" s="39"/>
    </row>
    <row r="27" spans="3:18" s="38" customFormat="1" ht="15.75" customHeight="1" x14ac:dyDescent="0.3">
      <c r="C27" s="82"/>
      <c r="D27" s="71"/>
      <c r="E27" s="71"/>
      <c r="F27" s="93"/>
      <c r="G27" s="93"/>
      <c r="H27" s="94"/>
      <c r="I27" s="95"/>
      <c r="K27" s="39"/>
      <c r="L27" s="39"/>
      <c r="M27" s="149"/>
      <c r="N27" s="39"/>
      <c r="O27" s="39"/>
      <c r="P27" s="39"/>
      <c r="Q27" s="39"/>
      <c r="R27" s="39"/>
    </row>
    <row r="28" spans="3:18" s="38" customFormat="1" ht="15.75" customHeight="1" x14ac:dyDescent="0.3">
      <c r="C28" s="82"/>
      <c r="D28" s="71"/>
      <c r="E28" s="71"/>
      <c r="F28" s="93"/>
      <c r="G28" s="93"/>
      <c r="H28" s="94"/>
      <c r="I28" s="95"/>
      <c r="K28" s="39"/>
      <c r="L28" s="39"/>
      <c r="M28" s="39"/>
      <c r="N28" s="39"/>
      <c r="O28" s="39"/>
      <c r="P28" s="39"/>
      <c r="Q28" s="39"/>
      <c r="R28" s="39"/>
    </row>
    <row r="29" spans="3:18" s="38" customFormat="1" ht="15.75" customHeight="1" x14ac:dyDescent="0.3">
      <c r="C29" s="82"/>
      <c r="D29" s="71"/>
      <c r="E29" s="71"/>
      <c r="F29" s="93"/>
      <c r="G29" s="93"/>
      <c r="H29" s="94"/>
      <c r="I29" s="95"/>
      <c r="K29" s="39"/>
      <c r="L29" s="39"/>
      <c r="M29" s="39"/>
      <c r="N29" s="39"/>
      <c r="O29" s="39"/>
      <c r="P29" s="39"/>
      <c r="Q29" s="39"/>
      <c r="R29" s="39"/>
    </row>
    <row r="30" spans="3:18" s="38" customFormat="1" ht="15.75" customHeight="1" x14ac:dyDescent="0.3">
      <c r="C30" s="82"/>
      <c r="D30" s="71"/>
      <c r="E30" s="71"/>
      <c r="F30" s="93"/>
      <c r="G30" s="93"/>
      <c r="H30" s="94"/>
      <c r="I30" s="95"/>
      <c r="K30" s="39"/>
      <c r="L30" s="39"/>
      <c r="M30" s="39"/>
      <c r="N30" s="39"/>
      <c r="O30" s="39"/>
      <c r="P30" s="39"/>
      <c r="Q30" s="39"/>
      <c r="R30" s="39"/>
    </row>
    <row r="31" spans="3:18" s="38" customFormat="1" ht="15.75" customHeight="1" x14ac:dyDescent="0.3">
      <c r="C31" s="82"/>
      <c r="D31" s="71"/>
      <c r="E31" s="71"/>
      <c r="F31" s="93"/>
      <c r="G31" s="93"/>
      <c r="H31" s="94"/>
      <c r="I31" s="95"/>
      <c r="K31" s="39"/>
      <c r="L31" s="39"/>
      <c r="M31" s="39"/>
      <c r="N31" s="39"/>
      <c r="O31" s="39"/>
      <c r="P31" s="39"/>
      <c r="Q31" s="39"/>
      <c r="R31" s="39"/>
    </row>
    <row r="32" spans="3:18" s="38" customFormat="1" ht="15.75" customHeight="1" x14ac:dyDescent="0.3">
      <c r="C32" s="82"/>
      <c r="D32" s="71"/>
      <c r="E32" s="71"/>
      <c r="F32" s="93"/>
      <c r="G32" s="93"/>
      <c r="H32" s="94"/>
      <c r="I32" s="95"/>
      <c r="K32" s="39"/>
      <c r="L32" s="39"/>
      <c r="M32" s="39"/>
      <c r="N32" s="39"/>
      <c r="O32" s="39"/>
      <c r="P32" s="39"/>
      <c r="Q32" s="39"/>
      <c r="R32" s="39"/>
    </row>
    <row r="33" spans="2:18" s="38" customFormat="1" ht="15.75" customHeight="1" x14ac:dyDescent="0.3">
      <c r="C33" s="82"/>
      <c r="D33" s="71"/>
      <c r="E33" s="71"/>
      <c r="F33" s="93"/>
      <c r="G33" s="93"/>
      <c r="H33" s="94"/>
      <c r="I33" s="95"/>
      <c r="K33" s="39"/>
      <c r="L33" s="39"/>
      <c r="M33" s="39"/>
      <c r="N33" s="39"/>
      <c r="O33" s="39"/>
      <c r="P33" s="39"/>
      <c r="Q33" s="39"/>
      <c r="R33" s="39"/>
    </row>
    <row r="34" spans="2:18" s="38" customFormat="1" ht="15.75" customHeight="1" x14ac:dyDescent="0.3">
      <c r="C34" s="82"/>
      <c r="D34" s="71"/>
      <c r="E34" s="71"/>
      <c r="F34" s="93"/>
      <c r="G34" s="93"/>
      <c r="H34" s="94"/>
      <c r="I34" s="95"/>
      <c r="K34" s="39"/>
      <c r="L34" s="39"/>
      <c r="M34" s="39"/>
      <c r="N34" s="39"/>
      <c r="O34" s="39"/>
      <c r="P34" s="39"/>
      <c r="Q34" s="39"/>
      <c r="R34" s="39"/>
    </row>
    <row r="35" spans="2:18" s="38" customFormat="1" ht="15.75" customHeight="1" x14ac:dyDescent="0.3">
      <c r="C35" s="82"/>
      <c r="D35" s="71"/>
      <c r="E35" s="71"/>
      <c r="F35" s="93"/>
      <c r="G35" s="93"/>
      <c r="H35" s="94"/>
      <c r="I35" s="95"/>
      <c r="K35" s="39"/>
      <c r="L35" s="39"/>
      <c r="M35" s="39"/>
      <c r="N35" s="39"/>
      <c r="O35" s="39"/>
      <c r="P35" s="39"/>
      <c r="Q35" s="39"/>
      <c r="R35" s="39"/>
    </row>
    <row r="36" spans="2:18" s="38" customFormat="1" ht="15.75" customHeight="1" x14ac:dyDescent="0.3">
      <c r="C36" s="82"/>
      <c r="D36" s="71"/>
      <c r="E36" s="71"/>
      <c r="F36" s="93"/>
      <c r="G36" s="93"/>
      <c r="H36" s="94"/>
      <c r="I36" s="95"/>
    </row>
    <row r="37" spans="2:18" s="38" customFormat="1" ht="12.75" customHeight="1" x14ac:dyDescent="0.3">
      <c r="C37" s="71"/>
      <c r="D37" s="71"/>
      <c r="E37" s="71"/>
      <c r="F37" s="93"/>
      <c r="G37" s="93"/>
      <c r="H37" s="94"/>
      <c r="I37" s="95"/>
    </row>
    <row r="38" spans="2:18" s="38" customFormat="1" ht="42" customHeight="1" x14ac:dyDescent="0.25">
      <c r="B38" s="197"/>
      <c r="C38" s="197"/>
      <c r="D38" s="197"/>
      <c r="E38" s="197"/>
      <c r="F38" s="197"/>
      <c r="G38" s="197"/>
      <c r="H38" s="197"/>
      <c r="I38" s="197"/>
      <c r="J38" s="197"/>
      <c r="K38" s="72"/>
      <c r="L38" s="72"/>
      <c r="M38" s="72"/>
      <c r="N38" s="72"/>
      <c r="O38" s="72"/>
      <c r="P38" s="72"/>
      <c r="Q38" s="72"/>
      <c r="R38" s="72"/>
    </row>
    <row r="39" spans="2:18" s="38" customFormat="1" ht="63" customHeight="1" x14ac:dyDescent="0.25"/>
    <row r="40" spans="2:18" ht="75.75" customHeight="1" x14ac:dyDescent="0.25">
      <c r="B40" s="197"/>
      <c r="C40" s="197"/>
      <c r="D40" s="197"/>
      <c r="E40" s="197"/>
      <c r="F40" s="197"/>
      <c r="G40" s="197"/>
      <c r="H40" s="197"/>
      <c r="I40" s="197"/>
      <c r="J40" s="197"/>
    </row>
  </sheetData>
  <mergeCells count="3">
    <mergeCell ref="B40:J40"/>
    <mergeCell ref="B3:C3"/>
    <mergeCell ref="B38:J38"/>
  </mergeCells>
  <printOptions horizontalCentered="1"/>
  <pageMargins left="0.25" right="0.25" top="0.75" bottom="0.75" header="0.3" footer="0.3"/>
  <pageSetup scale="6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CC00"/>
    <pageSetUpPr fitToPage="1"/>
  </sheetPr>
  <dimension ref="B1:T242"/>
  <sheetViews>
    <sheetView showGridLines="0" showRowColHeaders="0" view="pageLayout" topLeftCell="A11" zoomScale="125" zoomScaleNormal="85" zoomScaleSheetLayoutView="118" zoomScalePageLayoutView="125" workbookViewId="0">
      <selection activeCell="D18" sqref="D18"/>
    </sheetView>
  </sheetViews>
  <sheetFormatPr defaultColWidth="9.33203125" defaultRowHeight="13.2" outlineLevelCol="1" x14ac:dyDescent="0.25"/>
  <cols>
    <col min="1" max="1" customWidth="true" style="41" width="3.77734375"/>
    <col min="2" max="2" customWidth="true" style="45" width="3.33203125"/>
    <col min="3" max="3" customWidth="true" style="45" width="10.33203125"/>
    <col min="4" max="4" customWidth="true" style="45" width="12.33203125" outlineLevel="1"/>
    <col min="5" max="5" customWidth="true" style="45" width="8.0" outlineLevel="1"/>
    <col min="6" max="6" customWidth="true" style="45" width="12.6640625" outlineLevel="1"/>
    <col min="7" max="7" customWidth="true" style="45" width="12.109375" outlineLevel="1"/>
    <col min="8" max="8" customWidth="true" style="45" width="5.33203125" outlineLevel="1"/>
    <col min="9" max="9" customWidth="true" style="45" width="14.0" outlineLevel="1"/>
    <col min="10" max="10" customWidth="true" style="45" width="1.33203125"/>
    <col min="11" max="11" customWidth="true" style="45" width="13.6640625"/>
    <col min="12" max="12" customWidth="true" style="45" width="11.0"/>
    <col min="13" max="13" bestFit="true" customWidth="true" style="45" width="14.44140625"/>
    <col min="14" max="14" customWidth="true" style="45" width="13.6640625"/>
    <col min="15" max="15" customWidth="true" style="45" width="14.6640625"/>
    <col min="16" max="16" bestFit="true" customWidth="true" style="45" width="14.44140625"/>
    <col min="17" max="17" customWidth="true" style="45" width="1.44140625"/>
    <col min="18" max="18" customWidth="true" style="45" width="16.33203125"/>
    <col min="19" max="19" customWidth="true" style="41" width="3.33203125"/>
    <col min="20" max="20" customWidth="true" style="41" width="4.33203125"/>
    <col min="21" max="22" customWidth="true" style="41" width="14.6640625"/>
    <col min="23" max="23" customWidth="true" style="41" width="2.44140625"/>
    <col min="24" max="27" customWidth="true" style="41" width="11.0"/>
    <col min="28" max="28" customWidth="true" style="41" width="9.6640625"/>
    <col min="29" max="29" customWidth="true" style="41" width="10.33203125"/>
    <col min="30" max="32" customWidth="true" style="41" width="8.6640625"/>
    <col min="33" max="34" customWidth="true" style="41" width="10.33203125"/>
    <col min="35" max="16384" style="41" width="9.33203125"/>
  </cols>
  <sheetData>
    <row r="1" spans="2:18" x14ac:dyDescent="0.25">
      <c r="B1" s="40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</row>
    <row r="2" spans="2:18" ht="21" x14ac:dyDescent="0.25">
      <c r="B2" s="42" t="s">
        <v>73</v>
      </c>
      <c r="C2" s="42"/>
      <c r="D2" s="43"/>
      <c r="E2" s="44"/>
      <c r="F2" s="44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</row>
    <row r="3" spans="2:18" ht="21" x14ac:dyDescent="0.25">
      <c r="B3" s="42"/>
      <c r="C3" s="42"/>
      <c r="D3" s="43"/>
      <c r="E3" s="44"/>
      <c r="F3" s="44"/>
      <c r="G3" s="41"/>
      <c r="H3" s="41"/>
      <c r="I3" s="41"/>
      <c r="J3" s="41"/>
      <c r="K3" s="41"/>
      <c r="L3" s="41"/>
      <c r="M3" s="42"/>
      <c r="N3" s="41"/>
      <c r="O3" s="41"/>
      <c r="P3" s="41"/>
      <c r="Q3" s="41"/>
      <c r="R3" s="41"/>
    </row>
    <row r="4" spans="2:18" ht="15.6" x14ac:dyDescent="0.25">
      <c r="B4" s="202"/>
      <c r="C4" s="202"/>
      <c r="D4" s="202"/>
      <c r="E4" s="202"/>
      <c r="F4" s="202"/>
      <c r="G4" s="202"/>
      <c r="H4" s="202"/>
      <c r="I4" s="202"/>
      <c r="J4" s="41"/>
      <c r="K4" s="41"/>
      <c r="L4" s="41"/>
      <c r="M4" s="41"/>
      <c r="N4" s="41"/>
      <c r="O4" s="41"/>
      <c r="P4" s="41"/>
      <c r="Q4" s="41"/>
      <c r="R4" s="41"/>
    </row>
    <row r="5" spans="2:18" x14ac:dyDescent="0.25"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</row>
    <row r="6" spans="2:18" x14ac:dyDescent="0.25"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</row>
    <row r="7" spans="2:18" s="45" customFormat="1" ht="15.6" x14ac:dyDescent="0.3">
      <c r="B7" s="162" t="s">
        <v>86</v>
      </c>
      <c r="C7" s="162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78"/>
      <c r="Q7" s="163"/>
      <c r="R7" s="163"/>
    </row>
    <row r="8" spans="2:18" ht="17.399999999999999" x14ac:dyDescent="0.3">
      <c r="B8" s="46" t="s">
        <v>74</v>
      </c>
      <c r="D8" s="46"/>
      <c r="E8" s="47"/>
      <c r="F8" s="47"/>
      <c r="G8" s="47"/>
      <c r="H8" s="47"/>
      <c r="I8" s="47"/>
      <c r="J8" s="47"/>
      <c r="K8" s="48">
        <f>Inputs!C11</f>
        <v>1000000</v>
      </c>
      <c r="L8" s="47"/>
      <c r="M8" s="47"/>
      <c r="N8" s="185"/>
      <c r="O8" s="186"/>
      <c r="P8" s="47"/>
      <c r="Q8" s="41"/>
      <c r="R8" s="41"/>
    </row>
    <row r="9" spans="2:18" ht="17.399999999999999" x14ac:dyDescent="0.3">
      <c r="B9" s="46" t="s">
        <v>75</v>
      </c>
      <c r="D9" s="46"/>
      <c r="E9" s="47"/>
      <c r="F9" s="47"/>
      <c r="G9" s="47"/>
      <c r="H9" s="47"/>
      <c r="I9" s="47"/>
      <c r="J9" s="47"/>
      <c r="K9" s="48">
        <f>Inputs!$C$21+Inputs!C27+Inputs!C33</f>
        <v>1000000</v>
      </c>
      <c r="L9" s="47"/>
      <c r="M9" s="47"/>
      <c r="N9" s="108"/>
      <c r="O9" s="47"/>
      <c r="P9" s="47"/>
      <c r="Q9" s="41"/>
      <c r="R9" s="41"/>
    </row>
    <row r="10" spans="2:18" ht="17.399999999999999" x14ac:dyDescent="0.3">
      <c r="B10" s="46" t="s">
        <v>61</v>
      </c>
      <c r="D10" s="46"/>
      <c r="E10" s="47"/>
      <c r="F10" s="47"/>
      <c r="G10" s="47"/>
      <c r="H10" s="47"/>
      <c r="I10" s="47"/>
      <c r="J10" s="47"/>
      <c r="K10" s="48">
        <f>Inputs!C72</f>
        <v>1000000</v>
      </c>
      <c r="L10" s="47"/>
      <c r="M10" s="47"/>
      <c r="N10" s="47"/>
      <c r="O10" s="47"/>
      <c r="P10" s="47"/>
      <c r="Q10" s="41"/>
      <c r="R10" s="41"/>
    </row>
    <row r="11" spans="2:18" ht="17.399999999999999" x14ac:dyDescent="0.3">
      <c r="B11" s="46" t="s">
        <v>13</v>
      </c>
      <c r="D11" s="46"/>
      <c r="E11" s="47"/>
      <c r="F11" s="47"/>
      <c r="G11" s="47"/>
      <c r="H11" s="47"/>
      <c r="I11" s="47"/>
      <c r="J11" s="47"/>
      <c r="K11" s="48">
        <f>Inputs!$C$23</f>
        <v>7</v>
      </c>
      <c r="L11" s="47"/>
      <c r="M11" s="47"/>
      <c r="N11" s="47"/>
      <c r="O11" s="47"/>
      <c r="P11" s="47"/>
      <c r="Q11" s="41"/>
      <c r="R11" s="41"/>
    </row>
    <row r="12" spans="2:18" ht="20.25" customHeight="1" x14ac:dyDescent="0.3">
      <c r="B12" s="46" t="s">
        <v>60</v>
      </c>
      <c r="D12" s="46"/>
      <c r="E12" s="47"/>
      <c r="F12" s="47"/>
      <c r="G12" s="47"/>
      <c r="H12" s="47"/>
      <c r="I12" s="47"/>
      <c r="J12" s="47"/>
      <c r="K12" s="134">
        <f>Inputs!C67</f>
        <v>0.25</v>
      </c>
      <c r="L12" s="47"/>
      <c r="M12" s="47"/>
      <c r="N12" s="47"/>
      <c r="O12" s="47"/>
      <c r="P12" s="47"/>
      <c r="Q12" s="41"/>
      <c r="R12" s="41"/>
    </row>
    <row r="13" spans="2:18" ht="20.25" customHeight="1" x14ac:dyDescent="0.3"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7"/>
      <c r="M13" s="47"/>
      <c r="N13" s="47"/>
      <c r="O13" s="47"/>
      <c r="P13" s="47"/>
      <c r="Q13" s="41"/>
      <c r="R13" s="41"/>
    </row>
    <row r="14" spans="2:18" s="45" customFormat="1" ht="15.6" x14ac:dyDescent="0.3">
      <c r="B14" s="164" t="s">
        <v>76</v>
      </c>
      <c r="C14" s="164"/>
      <c r="D14" s="165"/>
      <c r="E14" s="165"/>
      <c r="F14" s="165"/>
      <c r="G14" s="165"/>
      <c r="H14" s="165"/>
      <c r="I14" s="165"/>
      <c r="J14" s="165"/>
      <c r="K14" s="165"/>
      <c r="L14" s="166">
        <f>+Inputs!E19</f>
        <v>0</v>
      </c>
      <c r="M14" s="165"/>
      <c r="N14" s="165"/>
      <c r="O14" s="165"/>
      <c r="P14" s="165"/>
      <c r="Q14" s="165"/>
      <c r="R14" s="165"/>
    </row>
    <row r="15" spans="2:18" x14ac:dyDescent="0.25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</row>
    <row r="16" spans="2:18" ht="12.75" customHeight="1" x14ac:dyDescent="0.25">
      <c r="B16" s="41"/>
      <c r="C16" s="41"/>
      <c r="D16" s="203" t="s">
        <v>50</v>
      </c>
      <c r="E16" s="204"/>
      <c r="F16" s="204"/>
      <c r="G16" s="204"/>
      <c r="H16" s="204"/>
      <c r="I16" s="205"/>
      <c r="J16" s="49"/>
      <c r="K16" s="203" t="s">
        <v>50</v>
      </c>
      <c r="L16" s="204"/>
      <c r="M16" s="204"/>
      <c r="N16" s="204"/>
      <c r="O16" s="204"/>
      <c r="P16" s="205"/>
      <c r="Q16" s="41"/>
      <c r="R16" s="41"/>
    </row>
    <row r="17" spans="2:18" ht="25.5" customHeight="1" x14ac:dyDescent="0.25">
      <c r="B17" s="41"/>
      <c r="C17" s="41"/>
      <c r="D17" s="167" t="s">
        <v>34</v>
      </c>
      <c r="E17" s="167" t="s">
        <v>77</v>
      </c>
      <c r="F17" s="167" t="s">
        <v>78</v>
      </c>
      <c r="G17" s="167" t="s">
        <v>52</v>
      </c>
      <c r="H17" s="167"/>
      <c r="I17" s="167" t="s">
        <v>5</v>
      </c>
      <c r="J17" s="50"/>
      <c r="K17" s="167" t="s">
        <v>34</v>
      </c>
      <c r="L17" s="167" t="s">
        <v>77</v>
      </c>
      <c r="M17" s="167" t="s">
        <v>78</v>
      </c>
      <c r="N17" s="167" t="s">
        <v>52</v>
      </c>
      <c r="O17" s="167" t="s">
        <v>79</v>
      </c>
      <c r="P17" s="167" t="s">
        <v>5</v>
      </c>
      <c r="Q17" s="41"/>
      <c r="R17" s="168" t="s">
        <v>9</v>
      </c>
    </row>
    <row r="18" spans="2:18" ht="19.5" customHeight="1" x14ac:dyDescent="0.25">
      <c r="B18" s="51" t="s">
        <v>0</v>
      </c>
      <c r="C18" s="52"/>
      <c r="D18" s="53">
        <f>Inputs!$C$21*(1+Inputs!$C$67)</f>
        <v>1250000</v>
      </c>
      <c r="E18" s="54">
        <f>IF(Inputs!C75=0,Lookups!$W$34,Inputs!C75)</f>
        <v>0.4</v>
      </c>
      <c r="F18" s="55">
        <f t="shared" ref="F18:F24" si="0">D18*E18</f>
        <v>500000</v>
      </c>
      <c r="G18" s="55">
        <f>D18*Lookups!X34</f>
        <v>12500</v>
      </c>
      <c r="H18" s="55"/>
      <c r="I18" s="55">
        <f t="shared" ref="I18:I22" si="1">SUM(F18:G18)</f>
        <v>512500</v>
      </c>
      <c r="J18" s="56"/>
      <c r="K18" s="53">
        <f>(Inputs!$C$21+(Inputs!$C$11*Inputs!$E$21))*(1+Inputs!$C$67)</f>
        <v>2500000</v>
      </c>
      <c r="L18" s="57">
        <f>IF(Inputs!C$75=0,Lookups!$AA$34,Inputs!C$75)</f>
        <v>0.4</v>
      </c>
      <c r="M18" s="53">
        <f t="shared" ref="M18:M24" si="2">K18*L18</f>
        <v>1000000</v>
      </c>
      <c r="N18" s="58">
        <f>K18*Lookups!$AB$34</f>
        <v>25000</v>
      </c>
      <c r="O18" s="58">
        <f>LOOKUP($K$11,Lookups!$AT$59:$AT$65,Lookups!$AU$59:$AU$65)*-Inputs!$E$21</f>
        <v>-142857.14285714287</v>
      </c>
      <c r="P18" s="58">
        <f>SUM(M18:O18)</f>
        <v>882142.85714285716</v>
      </c>
      <c r="Q18" s="41"/>
      <c r="R18" s="53">
        <f>P18-I18</f>
        <v>369642.85714285716</v>
      </c>
    </row>
    <row r="19" spans="2:18" ht="19.5" customHeight="1" x14ac:dyDescent="0.25">
      <c r="B19" s="51" t="s">
        <v>1</v>
      </c>
      <c r="C19" s="52"/>
      <c r="D19" s="53">
        <f>D18*(1+Inputs!$C$67)</f>
        <v>1562500</v>
      </c>
      <c r="E19" s="54">
        <f>IF(Inputs!C75=0,Lookups!$W$35,Inputs!C75)</f>
        <v>0.4</v>
      </c>
      <c r="F19" s="55">
        <f t="shared" si="0"/>
        <v>625000</v>
      </c>
      <c r="G19" s="55">
        <f>D19*Lookups!X35</f>
        <v>15625</v>
      </c>
      <c r="H19" s="55"/>
      <c r="I19" s="55">
        <f t="shared" si="1"/>
        <v>640625</v>
      </c>
      <c r="J19" s="56"/>
      <c r="K19" s="53">
        <f>K18*(1+Inputs!$C$67)</f>
        <v>3125000</v>
      </c>
      <c r="L19" s="57">
        <f>IF(Inputs!C$75=0,Lookups!$AA$35,Inputs!C$75)</f>
        <v>0.4</v>
      </c>
      <c r="M19" s="53">
        <f t="shared" si="2"/>
        <v>1250000</v>
      </c>
      <c r="N19" s="58">
        <f>K19*Lookups!$AB$35</f>
        <v>31250</v>
      </c>
      <c r="O19" s="58">
        <f>IF(LOOKUP($K$11,Lookups!$AT$59:$AT$65,Lookups!$AV$59:$AV$65)=0,"",LOOKUP($K$11,Lookups!$AT$59:$AT$65,Lookups!$AV$59:$AV$65)*-Inputs!$E$21)</f>
        <v>-142857.14285714287</v>
      </c>
      <c r="P19" s="58">
        <f t="shared" ref="P19:P22" si="3">SUM(M19:O19)</f>
        <v>1138392.857142857</v>
      </c>
      <c r="Q19" s="41"/>
      <c r="R19" s="53">
        <f t="shared" ref="R19:R22" si="4">P19-I19</f>
        <v>497767.85714285704</v>
      </c>
    </row>
    <row r="20" spans="2:18" ht="19.5" customHeight="1" x14ac:dyDescent="0.25">
      <c r="B20" s="51" t="s">
        <v>2</v>
      </c>
      <c r="C20" s="52"/>
      <c r="D20" s="53">
        <f>D19*(1+Inputs!$C$67)</f>
        <v>1953125</v>
      </c>
      <c r="E20" s="54">
        <f>IF(Inputs!C75=0,Lookups!$W$36,Inputs!C75)</f>
        <v>0.4</v>
      </c>
      <c r="F20" s="55">
        <f t="shared" si="0"/>
        <v>781250</v>
      </c>
      <c r="G20" s="55">
        <f>D20*Lookups!X36</f>
        <v>19531.25</v>
      </c>
      <c r="H20" s="55"/>
      <c r="I20" s="55">
        <f t="shared" si="1"/>
        <v>800781.25</v>
      </c>
      <c r="J20" s="56"/>
      <c r="K20" s="53">
        <f>K19*(1+Inputs!$C$67)</f>
        <v>3906250</v>
      </c>
      <c r="L20" s="57">
        <f>IF(Inputs!C$75=0,Lookups!$AA$36,Inputs!C$75)</f>
        <v>0.4</v>
      </c>
      <c r="M20" s="53">
        <f t="shared" si="2"/>
        <v>1562500</v>
      </c>
      <c r="N20" s="58">
        <f>K20*Lookups!$AB$36</f>
        <v>39062.5</v>
      </c>
      <c r="O20" s="58">
        <f>IF(LOOKUP($K$11,Lookups!$AT$59:$AT$65,Lookups!$AW$59:$AW$65)=0,"",LOOKUP($K$11,Lookups!$AT$59:$AT$65,Lookups!$AW$59:$AW$65)*-Inputs!$E$21)</f>
        <v>-142857.14285714287</v>
      </c>
      <c r="P20" s="58">
        <f t="shared" si="3"/>
        <v>1458705.357142857</v>
      </c>
      <c r="Q20" s="41"/>
      <c r="R20" s="53">
        <f t="shared" si="4"/>
        <v>657924.10714285704</v>
      </c>
    </row>
    <row r="21" spans="2:18" ht="19.5" customHeight="1" x14ac:dyDescent="0.25">
      <c r="B21" s="51" t="s">
        <v>3</v>
      </c>
      <c r="C21" s="52"/>
      <c r="D21" s="53">
        <f>D20*(1+Inputs!$C$67)</f>
        <v>2441406.25</v>
      </c>
      <c r="E21" s="54">
        <f>IF(Inputs!C75=0,Lookups!$W$37,Inputs!C75)</f>
        <v>0.4</v>
      </c>
      <c r="F21" s="55">
        <f t="shared" si="0"/>
        <v>976562.5</v>
      </c>
      <c r="G21" s="55">
        <f>D21*Lookups!X37</f>
        <v>24414.0625</v>
      </c>
      <c r="H21" s="55"/>
      <c r="I21" s="55">
        <f t="shared" si="1"/>
        <v>1000976.5625</v>
      </c>
      <c r="J21" s="56"/>
      <c r="K21" s="53">
        <f>K20*(1+Inputs!$C$67)</f>
        <v>4882812.5</v>
      </c>
      <c r="L21" s="57">
        <f>IF(Inputs!C$75=0,Lookups!$AA$37,Inputs!C$75)</f>
        <v>0.4</v>
      </c>
      <c r="M21" s="53">
        <f t="shared" si="2"/>
        <v>1953125</v>
      </c>
      <c r="N21" s="58">
        <f>K21*Lookups!$AB$37</f>
        <v>48828.125</v>
      </c>
      <c r="O21" s="58">
        <f>IF(LOOKUP($K$11,Lookups!$AT$59:$AT$65,Lookups!$AX$59:$AX$65)=0,"",LOOKUP($K$11,Lookups!$AT$59:$AT$65,Lookups!$AX$59:$AX$65)*-Inputs!$E$21)</f>
        <v>-142857.14285714287</v>
      </c>
      <c r="P21" s="58">
        <f t="shared" si="3"/>
        <v>1859095.982142857</v>
      </c>
      <c r="Q21" s="41"/>
      <c r="R21" s="53">
        <f t="shared" si="4"/>
        <v>858119.41964285704</v>
      </c>
    </row>
    <row r="22" spans="2:18" ht="19.5" customHeight="1" x14ac:dyDescent="0.25">
      <c r="B22" s="129" t="s">
        <v>4</v>
      </c>
      <c r="C22" s="130"/>
      <c r="D22" s="131">
        <f>D21*(1+Inputs!$C$67)</f>
        <v>3051757.8125</v>
      </c>
      <c r="E22" s="148">
        <f>IF(Inputs!C75=0,Lookups!$W$38,Inputs!C75)</f>
        <v>0.4</v>
      </c>
      <c r="F22" s="132">
        <f t="shared" si="0"/>
        <v>1220703.125</v>
      </c>
      <c r="G22" s="132">
        <f>D22*Lookups!X38</f>
        <v>30517.578125</v>
      </c>
      <c r="H22" s="132"/>
      <c r="I22" s="132">
        <f t="shared" si="1"/>
        <v>1251220.703125</v>
      </c>
      <c r="J22" s="56"/>
      <c r="K22" s="53">
        <f>K21*(1+Inputs!$C$67)</f>
        <v>6103515.625</v>
      </c>
      <c r="L22" s="57">
        <f>IF(Inputs!C$75=0,Lookups!$AA$38,Inputs!C$75)</f>
        <v>0.4</v>
      </c>
      <c r="M22" s="131">
        <f t="shared" si="2"/>
        <v>2441406.25</v>
      </c>
      <c r="N22" s="58">
        <f>K22*Lookups!$AB$38</f>
        <v>61035.15625</v>
      </c>
      <c r="O22" s="58">
        <f>IF(LOOKUP($K$11,Lookups!$AT$59:$AT$65,Lookups!$AY$59:$AY$65)=0,"",LOOKUP($K$11,Lookups!$AT$59:$AT$65,Lookups!$AY$59:$AY$65)*-Inputs!$E$21)</f>
        <v>-142857.14285714287</v>
      </c>
      <c r="P22" s="58">
        <f t="shared" si="3"/>
        <v>2359584.2633928573</v>
      </c>
      <c r="Q22" s="41"/>
      <c r="R22" s="53">
        <f t="shared" si="4"/>
        <v>1108363.5602678573</v>
      </c>
    </row>
    <row r="23" spans="2:18" ht="19.5" customHeight="1" x14ac:dyDescent="0.25">
      <c r="B23" s="51" t="s">
        <v>16</v>
      </c>
      <c r="C23" s="52"/>
      <c r="D23" s="53">
        <f>D22*(1+Inputs!$C$67)</f>
        <v>3814697.265625</v>
      </c>
      <c r="E23" s="54">
        <f>IF(Inputs!C75=0,Lookups!$W$39,Inputs!C75)</f>
        <v>0.4</v>
      </c>
      <c r="F23" s="55">
        <f t="shared" si="0"/>
        <v>1525878.90625</v>
      </c>
      <c r="G23" s="55">
        <f>D23*Lookups!X39</f>
        <v>38146.97265625</v>
      </c>
      <c r="H23" s="55"/>
      <c r="I23" s="55">
        <f t="shared" ref="I23:I24" si="5">SUM(F23:G23)</f>
        <v>1564025.87890625</v>
      </c>
      <c r="J23" s="56"/>
      <c r="K23" s="53">
        <f>K22*(1+Inputs!$C$67)</f>
        <v>7629394.53125</v>
      </c>
      <c r="L23" s="57">
        <f>IF(Inputs!C$75=0,Lookups!$AA$39,Inputs!C$75)</f>
        <v>0.4</v>
      </c>
      <c r="M23" s="53">
        <f t="shared" si="2"/>
        <v>3051757.8125</v>
      </c>
      <c r="N23" s="58">
        <f>K23*Lookups!$AB$39</f>
        <v>76293.9453125</v>
      </c>
      <c r="O23" s="58">
        <f>IF(LOOKUP($K$11,Lookups!$AT$59:$AT$65,Lookups!$AZ$59:$AZ$65)=0,"",LOOKUP($K$11,Lookups!$AT$59:$AT$65,Lookups!$AZ$59:$AZ$65)*-Inputs!$E$21)</f>
        <v>-142857.14285714287</v>
      </c>
      <c r="P23" s="58">
        <f t="shared" ref="P23:P24" si="6">SUM(M23:O23)</f>
        <v>2985194.6149553573</v>
      </c>
      <c r="Q23" s="41"/>
      <c r="R23" s="53">
        <f t="shared" ref="R23:R24" si="7">P23-I23</f>
        <v>1421168.7360491073</v>
      </c>
    </row>
    <row r="24" spans="2:18" ht="19.5" customHeight="1" x14ac:dyDescent="0.25">
      <c r="B24" s="41" t="s">
        <v>17</v>
      </c>
      <c r="C24" s="40"/>
      <c r="D24" s="53">
        <f>D23*(1+Inputs!$C$67)</f>
        <v>4768371.58203125</v>
      </c>
      <c r="E24" s="123">
        <f>IF(Inputs!C75=0,Lookups!$W$40,Inputs!C75)</f>
        <v>0.4</v>
      </c>
      <c r="F24" s="59">
        <f t="shared" si="0"/>
        <v>1907348.6328125</v>
      </c>
      <c r="G24" s="59">
        <f>D24*Lookups!X40</f>
        <v>47683.7158203125</v>
      </c>
      <c r="H24" s="59"/>
      <c r="I24" s="55">
        <f t="shared" si="5"/>
        <v>1955032.3486328125</v>
      </c>
      <c r="J24" s="56"/>
      <c r="K24" s="53">
        <f>K23*(1+Inputs!$C$67)</f>
        <v>9536743.1640625</v>
      </c>
      <c r="L24" s="57">
        <f>IF(Inputs!C$75=0,Lookups!$AA$40,Inputs!C$75)</f>
        <v>0.4</v>
      </c>
      <c r="M24" s="60">
        <f t="shared" si="2"/>
        <v>3814697.265625</v>
      </c>
      <c r="N24" s="58">
        <f>K24*Lookups!$AB$40</f>
        <v>95367.431640625</v>
      </c>
      <c r="O24" s="58">
        <f>IF(LOOKUP($K$11,Lookups!$AT$59:$AT$65,Lookups!$BA$59:$BA$65)=0,"",LOOKUP($K$11,Lookups!$AT$59:$AT$65,Lookups!$BA$59:$BA$65)*-Inputs!$E$21)</f>
        <v>-142857.14285714287</v>
      </c>
      <c r="P24" s="58">
        <f t="shared" si="6"/>
        <v>3767207.5544084823</v>
      </c>
      <c r="Q24" s="41"/>
      <c r="R24" s="53">
        <f t="shared" si="7"/>
        <v>1812175.2057756698</v>
      </c>
    </row>
    <row r="25" spans="2:18" ht="19.5" customHeight="1" thickBot="1" x14ac:dyDescent="0.3">
      <c r="B25" s="61" t="s">
        <v>18</v>
      </c>
      <c r="C25" s="61"/>
      <c r="D25" s="62"/>
      <c r="E25" s="63"/>
      <c r="F25" s="64">
        <f>SUM(F18:F24)</f>
        <v>7536743.1640625</v>
      </c>
      <c r="G25" s="64">
        <f t="shared" ref="G25:I25" si="8">SUM(G18:G24)</f>
        <v>188418.5791015625</v>
      </c>
      <c r="H25" s="64"/>
      <c r="I25" s="64">
        <f t="shared" si="8"/>
        <v>7725161.7431640625</v>
      </c>
      <c r="J25" s="56"/>
      <c r="K25" s="62"/>
      <c r="L25" s="65"/>
      <c r="M25" s="66">
        <f>SUM(M18:M24)</f>
        <v>15073486.328125</v>
      </c>
      <c r="N25" s="66">
        <f>SUM(N18:N24)</f>
        <v>376837.158203125</v>
      </c>
      <c r="O25" s="66">
        <f>SUM(O18:O24)</f>
        <v>-1000000</v>
      </c>
      <c r="P25" s="66">
        <f>SUM(P18:P24)</f>
        <v>14450323.486328125</v>
      </c>
      <c r="Q25" s="41"/>
      <c r="R25" s="107">
        <f>SUM(R18:R24)</f>
        <v>6725161.7431640625</v>
      </c>
    </row>
    <row r="26" spans="2:18" ht="13.8" thickTop="1" x14ac:dyDescent="0.25"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</row>
    <row r="27" spans="2:18" ht="12.75" customHeight="1" x14ac:dyDescent="0.25">
      <c r="B27" s="41"/>
      <c r="C27" s="41"/>
      <c r="D27" s="41"/>
      <c r="E27" s="41"/>
      <c r="F27" s="41"/>
      <c r="G27" s="41"/>
      <c r="H27" s="41"/>
      <c r="I27" s="199"/>
      <c r="J27" s="200"/>
      <c r="K27" s="200"/>
      <c r="L27" s="200"/>
      <c r="M27" s="41"/>
      <c r="N27" s="41"/>
      <c r="O27" s="41"/>
      <c r="P27" s="41"/>
      <c r="Q27" s="41"/>
      <c r="R27" s="41"/>
    </row>
    <row r="28" spans="2:18" x14ac:dyDescent="0.25">
      <c r="B28" s="41"/>
      <c r="C28" s="41"/>
      <c r="D28" s="41"/>
      <c r="E28" s="41"/>
      <c r="F28" s="41"/>
      <c r="G28" s="41"/>
      <c r="H28" s="41"/>
      <c r="I28" s="199"/>
      <c r="J28" s="200"/>
      <c r="K28" s="200"/>
      <c r="L28" s="200"/>
      <c r="M28" s="41"/>
      <c r="N28" s="67">
        <f>IFERROR(R25/I25,"N/A")</f>
        <v>0.87055287212790178</v>
      </c>
      <c r="O28" s="40"/>
      <c r="P28" s="41"/>
      <c r="Q28" s="41"/>
      <c r="R28" s="41"/>
    </row>
    <row r="29" spans="2:18" x14ac:dyDescent="0.25">
      <c r="B29" s="41"/>
      <c r="C29" s="41"/>
      <c r="D29" s="41"/>
      <c r="E29" s="41"/>
      <c r="F29" s="41"/>
      <c r="G29" s="41"/>
      <c r="H29" s="41"/>
      <c r="I29" s="199"/>
      <c r="J29" s="200"/>
      <c r="K29" s="200"/>
      <c r="L29" s="200"/>
      <c r="M29" s="41"/>
      <c r="N29" s="41"/>
      <c r="O29" s="41"/>
      <c r="P29" s="41"/>
      <c r="Q29" s="41"/>
      <c r="R29" s="41"/>
    </row>
    <row r="30" spans="2:18" x14ac:dyDescent="0.25">
      <c r="B30" s="41"/>
      <c r="C30" s="41"/>
      <c r="D30" s="41"/>
      <c r="E30" s="41"/>
      <c r="F30" s="41"/>
      <c r="G30" s="41"/>
      <c r="H30" s="41"/>
      <c r="I30" s="41"/>
      <c r="J30" s="40"/>
      <c r="K30" s="41"/>
      <c r="L30" s="41"/>
      <c r="M30" s="41"/>
      <c r="N30" s="41"/>
      <c r="O30" s="41"/>
      <c r="P30" s="41"/>
      <c r="Q30" s="41"/>
      <c r="R30" s="41"/>
    </row>
    <row r="31" spans="2:18" hidden="1" x14ac:dyDescent="0.25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68">
        <f>M25-F25</f>
        <v>7536743.1640625</v>
      </c>
      <c r="N31" s="68">
        <f>N25-G25</f>
        <v>188418.5791015625</v>
      </c>
      <c r="O31" s="68">
        <f>P25-I25</f>
        <v>6725161.7431640625</v>
      </c>
      <c r="P31" s="68">
        <f>P25-J25</f>
        <v>14450323.486328125</v>
      </c>
      <c r="R31" s="41"/>
    </row>
    <row r="32" spans="2:18" ht="17.399999999999999" hidden="1" x14ac:dyDescent="0.3"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7"/>
      <c r="M32" s="47"/>
      <c r="N32" s="47"/>
      <c r="O32" s="47"/>
      <c r="P32" s="47"/>
      <c r="Q32" s="41"/>
      <c r="R32" s="41"/>
    </row>
    <row r="33" spans="2:18" ht="17.399999999999999" hidden="1" x14ac:dyDescent="0.3">
      <c r="B33" s="41"/>
      <c r="C33" s="46" t="s">
        <v>11</v>
      </c>
      <c r="D33" s="41"/>
      <c r="E33" s="47"/>
      <c r="F33" s="47"/>
      <c r="G33" s="47"/>
      <c r="H33" s="47"/>
      <c r="I33" s="47"/>
      <c r="J33" s="47"/>
      <c r="K33" s="48">
        <f>+Inputs!C28</f>
        <v>0</v>
      </c>
      <c r="L33" s="41"/>
      <c r="M33" s="41"/>
      <c r="N33" s="41"/>
      <c r="O33" s="41"/>
      <c r="P33" s="41"/>
      <c r="Q33" s="41"/>
      <c r="R33" s="41"/>
    </row>
    <row r="34" spans="2:18" s="45" customFormat="1" ht="15.6" x14ac:dyDescent="0.3">
      <c r="B34" s="164" t="s">
        <v>80</v>
      </c>
      <c r="C34" s="164"/>
      <c r="D34" s="165"/>
      <c r="E34" s="165"/>
      <c r="F34" s="165"/>
      <c r="G34" s="165"/>
      <c r="H34" s="165"/>
      <c r="I34" s="165"/>
      <c r="J34" s="165"/>
      <c r="K34" s="165"/>
      <c r="L34" s="166">
        <f>+Inputs!E25</f>
        <v>0</v>
      </c>
      <c r="M34" s="165"/>
      <c r="N34" s="165"/>
      <c r="O34" s="165"/>
      <c r="P34" s="165"/>
      <c r="Q34" s="165"/>
      <c r="R34" s="165"/>
    </row>
    <row r="35" spans="2:18" x14ac:dyDescent="0.25"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</row>
    <row r="36" spans="2:18" ht="12.75" customHeight="1" x14ac:dyDescent="0.25">
      <c r="B36" s="41"/>
      <c r="C36" s="41"/>
      <c r="D36" s="203" t="s">
        <v>50</v>
      </c>
      <c r="E36" s="204"/>
      <c r="F36" s="204"/>
      <c r="G36" s="204"/>
      <c r="H36" s="204"/>
      <c r="I36" s="205"/>
      <c r="J36" s="49"/>
      <c r="K36" s="203" t="s">
        <v>50</v>
      </c>
      <c r="L36" s="204"/>
      <c r="M36" s="204"/>
      <c r="N36" s="204"/>
      <c r="O36" s="204"/>
      <c r="P36" s="205"/>
      <c r="Q36" s="41"/>
      <c r="R36" s="41"/>
    </row>
    <row r="37" spans="2:18" ht="25.5" customHeight="1" x14ac:dyDescent="0.25">
      <c r="B37" s="41"/>
      <c r="C37" s="41"/>
      <c r="D37" s="167" t="s">
        <v>34</v>
      </c>
      <c r="E37" s="167" t="s">
        <v>77</v>
      </c>
      <c r="F37" s="167" t="s">
        <v>78</v>
      </c>
      <c r="G37" s="167" t="s">
        <v>52</v>
      </c>
      <c r="H37" s="167"/>
      <c r="I37" s="167" t="s">
        <v>5</v>
      </c>
      <c r="J37" s="50"/>
      <c r="K37" s="167" t="s">
        <v>34</v>
      </c>
      <c r="L37" s="167" t="s">
        <v>77</v>
      </c>
      <c r="M37" s="167" t="s">
        <v>78</v>
      </c>
      <c r="N37" s="167" t="s">
        <v>52</v>
      </c>
      <c r="O37" s="167" t="s">
        <v>79</v>
      </c>
      <c r="P37" s="167" t="s">
        <v>5</v>
      </c>
      <c r="Q37" s="41"/>
      <c r="R37" s="168" t="s">
        <v>9</v>
      </c>
    </row>
    <row r="38" spans="2:18" ht="19.5" customHeight="1" x14ac:dyDescent="0.25">
      <c r="B38" s="51" t="s">
        <v>0</v>
      </c>
      <c r="C38" s="52"/>
      <c r="D38" s="53">
        <f>Inputs!$C$27*(1+Inputs!$C$67)</f>
        <v>0</v>
      </c>
      <c r="E38" s="54">
        <f>IF(Inputs!C75=0,Lookups!$W$44,Inputs!C75)</f>
        <v>0.25</v>
      </c>
      <c r="F38" s="55">
        <f t="shared" ref="F38:F44" si="9">D38*E38</f>
        <v>0</v>
      </c>
      <c r="G38" s="55">
        <f>D38*Lookups!X44</f>
        <v>0</v>
      </c>
      <c r="H38" s="55"/>
      <c r="I38" s="55">
        <f t="shared" ref="I38:I42" si="10">SUM(F38:G38)</f>
        <v>0</v>
      </c>
      <c r="J38" s="56"/>
      <c r="K38" s="53">
        <f>(Inputs!$C$27+(Inputs!$C$11*Inputs!$E$27))*(1+Inputs!$C$67)</f>
        <v>0</v>
      </c>
      <c r="L38" s="57">
        <f>IF(Inputs!C$75=0,Lookups!$AA$44,Inputs!C$75)</f>
        <v>0.25</v>
      </c>
      <c r="M38" s="53">
        <f t="shared" ref="M38:M44" si="11">K38*L38</f>
        <v>0</v>
      </c>
      <c r="N38" s="58">
        <f>K38*Lookups!$AB$44</f>
        <v>0</v>
      </c>
      <c r="O38" s="58">
        <f>LOOKUP($K$11,Lookups!$AT$59:$AT$65,Lookups!$AU$59:$AU$65)*-Inputs!$E$27</f>
        <v>0</v>
      </c>
      <c r="P38" s="58">
        <f>SUM(M38:O38)</f>
        <v>0</v>
      </c>
      <c r="Q38" s="41"/>
      <c r="R38" s="53">
        <f>P38-I38</f>
        <v>0</v>
      </c>
    </row>
    <row r="39" spans="2:18" ht="19.5" customHeight="1" x14ac:dyDescent="0.25">
      <c r="B39" s="51" t="s">
        <v>1</v>
      </c>
      <c r="C39" s="52"/>
      <c r="D39" s="53">
        <f>D38*(1+Inputs!$C$67)</f>
        <v>0</v>
      </c>
      <c r="E39" s="54">
        <f>IF(Inputs!C75=0,Lookups!$W$45,Inputs!C75)</f>
        <v>0.25</v>
      </c>
      <c r="F39" s="55">
        <f t="shared" si="9"/>
        <v>0</v>
      </c>
      <c r="G39" s="55">
        <f>D39*Lookups!X45</f>
        <v>0</v>
      </c>
      <c r="H39" s="55"/>
      <c r="I39" s="55">
        <f t="shared" si="10"/>
        <v>0</v>
      </c>
      <c r="J39" s="56"/>
      <c r="K39" s="53">
        <f>K38*(1+Inputs!$C$67)</f>
        <v>0</v>
      </c>
      <c r="L39" s="57">
        <f>IF(Inputs!C$75=0,Lookups!$AA$45,Inputs!C$75)</f>
        <v>0.25</v>
      </c>
      <c r="M39" s="53">
        <f t="shared" si="11"/>
        <v>0</v>
      </c>
      <c r="N39" s="58">
        <f>K39*Lookups!$AB$45</f>
        <v>0</v>
      </c>
      <c r="O39" s="58">
        <f>IF(LOOKUP($K$11,Lookups!$AT$59:$AT$65,Lookups!$AV$59:$AV$65)=0,"",LOOKUP($K$11,Lookups!$AT$59:$AT$65,Lookups!$AV$59:$AV$65)*-Inputs!$E$27)</f>
        <v>0</v>
      </c>
      <c r="P39" s="58">
        <f t="shared" ref="P39:P42" si="12">SUM(M39:O39)</f>
        <v>0</v>
      </c>
      <c r="Q39" s="41"/>
      <c r="R39" s="53">
        <f t="shared" ref="R39:R42" si="13">P39-I39</f>
        <v>0</v>
      </c>
    </row>
    <row r="40" spans="2:18" ht="19.5" customHeight="1" x14ac:dyDescent="0.25">
      <c r="B40" s="51" t="s">
        <v>2</v>
      </c>
      <c r="C40" s="52"/>
      <c r="D40" s="53">
        <f>D39*(1+Inputs!$C$67)</f>
        <v>0</v>
      </c>
      <c r="E40" s="54">
        <f>IF(Inputs!C75=0,Lookups!$W$46,Inputs!C75)</f>
        <v>0.25</v>
      </c>
      <c r="F40" s="55">
        <f t="shared" si="9"/>
        <v>0</v>
      </c>
      <c r="G40" s="55">
        <f>D40*Lookups!X46</f>
        <v>0</v>
      </c>
      <c r="H40" s="55"/>
      <c r="I40" s="55">
        <f t="shared" si="10"/>
        <v>0</v>
      </c>
      <c r="J40" s="56"/>
      <c r="K40" s="53">
        <f>K39*(1+Inputs!$C$67)</f>
        <v>0</v>
      </c>
      <c r="L40" s="57">
        <f>IF(Inputs!C$75=0,Lookups!$AA$46,Inputs!C$75)</f>
        <v>0.25</v>
      </c>
      <c r="M40" s="53">
        <f t="shared" si="11"/>
        <v>0</v>
      </c>
      <c r="N40" s="58">
        <f>K40*Lookups!$AB$46</f>
        <v>0</v>
      </c>
      <c r="O40" s="58">
        <f>IF(LOOKUP($K$11,Lookups!$AT$59:$AT$65,Lookups!$AW$59:$AW$65)=0,"",LOOKUP($K$11,Lookups!$AT$59:$AT$65,Lookups!$AW$59:$AW$65)*-Inputs!$E$27)</f>
        <v>0</v>
      </c>
      <c r="P40" s="58">
        <f t="shared" si="12"/>
        <v>0</v>
      </c>
      <c r="Q40" s="41"/>
      <c r="R40" s="53">
        <f t="shared" si="13"/>
        <v>0</v>
      </c>
    </row>
    <row r="41" spans="2:18" ht="19.5" customHeight="1" x14ac:dyDescent="0.25">
      <c r="B41" s="51" t="s">
        <v>3</v>
      </c>
      <c r="C41" s="52"/>
      <c r="D41" s="53">
        <f>D40*(1+Inputs!$C$67)</f>
        <v>0</v>
      </c>
      <c r="E41" s="54">
        <f>IF(Inputs!C75=0,Lookups!$W$47,Inputs!C75)</f>
        <v>0.25</v>
      </c>
      <c r="F41" s="55">
        <f t="shared" si="9"/>
        <v>0</v>
      </c>
      <c r="G41" s="55">
        <f>D41*Lookups!X47</f>
        <v>0</v>
      </c>
      <c r="H41" s="55"/>
      <c r="I41" s="55">
        <f t="shared" si="10"/>
        <v>0</v>
      </c>
      <c r="J41" s="56"/>
      <c r="K41" s="53">
        <f>K40*(1+Inputs!$C$67)</f>
        <v>0</v>
      </c>
      <c r="L41" s="57">
        <f>IF(Inputs!C$75=0,Lookups!$AA$47,Inputs!C$75)</f>
        <v>0.25</v>
      </c>
      <c r="M41" s="53">
        <f t="shared" si="11"/>
        <v>0</v>
      </c>
      <c r="N41" s="58">
        <f>K41*Lookups!$AB$47</f>
        <v>0</v>
      </c>
      <c r="O41" s="58">
        <f>IF(LOOKUP($K$11,Lookups!$AT$59:$AT$65,Lookups!$AX$59:$AX$65)=0,"",LOOKUP($K$11,Lookups!$AT$59:$AT$65,Lookups!$AX$59:$AX$65)*-Inputs!$E$27)</f>
        <v>0</v>
      </c>
      <c r="P41" s="58">
        <f t="shared" si="12"/>
        <v>0</v>
      </c>
      <c r="Q41" s="41"/>
      <c r="R41" s="53">
        <f t="shared" si="13"/>
        <v>0</v>
      </c>
    </row>
    <row r="42" spans="2:18" ht="19.5" customHeight="1" x14ac:dyDescent="0.25">
      <c r="B42" s="138" t="s">
        <v>4</v>
      </c>
      <c r="C42" s="139"/>
      <c r="D42" s="135">
        <f>D41*(1+Inputs!$C$67)</f>
        <v>0</v>
      </c>
      <c r="E42" s="140">
        <f>IF(Inputs!C75=0,Lookups!$W$48,Inputs!C75)</f>
        <v>0.25</v>
      </c>
      <c r="F42" s="136">
        <f t="shared" si="9"/>
        <v>0</v>
      </c>
      <c r="G42" s="136">
        <f>D42*Lookups!X48</f>
        <v>0</v>
      </c>
      <c r="H42" s="136"/>
      <c r="I42" s="55">
        <f t="shared" si="10"/>
        <v>0</v>
      </c>
      <c r="J42" s="56"/>
      <c r="K42" s="135">
        <f>K41*(1+Inputs!$C$67)</f>
        <v>0</v>
      </c>
      <c r="L42" s="137">
        <f>IF(Inputs!C$75=0,Lookups!$AA$48,Inputs!C$75)</f>
        <v>0.25</v>
      </c>
      <c r="M42" s="135">
        <f t="shared" si="11"/>
        <v>0</v>
      </c>
      <c r="N42" s="58">
        <f>K42*Lookups!$AB$48</f>
        <v>0</v>
      </c>
      <c r="O42" s="58">
        <f>IF(LOOKUP($K$11,Lookups!$AT$59:$AT$65,Lookups!$AY$59:$AY$65)=0,"",LOOKUP($K$11,Lookups!$AT$59:$AT$65,Lookups!$AY$59:$AY$65)*-Inputs!$E$27)</f>
        <v>0</v>
      </c>
      <c r="P42" s="58">
        <f t="shared" si="12"/>
        <v>0</v>
      </c>
      <c r="Q42" s="41"/>
      <c r="R42" s="53">
        <f t="shared" si="13"/>
        <v>0</v>
      </c>
    </row>
    <row r="43" spans="2:18" ht="19.5" customHeight="1" x14ac:dyDescent="0.25">
      <c r="B43" s="51" t="s">
        <v>16</v>
      </c>
      <c r="C43" s="52"/>
      <c r="D43" s="53">
        <f>D42*(1+Inputs!$C$67)</f>
        <v>0</v>
      </c>
      <c r="E43" s="54">
        <f>IF(Inputs!C75=0,Lookups!$W$49,Inputs!C75)</f>
        <v>0.25</v>
      </c>
      <c r="F43" s="55">
        <f t="shared" si="9"/>
        <v>0</v>
      </c>
      <c r="G43" s="55">
        <f>D43*Lookups!X49</f>
        <v>0</v>
      </c>
      <c r="H43" s="55"/>
      <c r="I43" s="55">
        <f t="shared" ref="I43:I44" si="14">SUM(F43:G43)</f>
        <v>0</v>
      </c>
      <c r="J43" s="56"/>
      <c r="K43" s="53">
        <f>K42*(1+Inputs!$C$67)</f>
        <v>0</v>
      </c>
      <c r="L43" s="57">
        <f>IF(Inputs!C$75=0,Lookups!$AA$49,Inputs!C$75)</f>
        <v>0.25</v>
      </c>
      <c r="M43" s="53">
        <f t="shared" si="11"/>
        <v>0</v>
      </c>
      <c r="N43" s="58">
        <f>K43*Lookups!$AB$49</f>
        <v>0</v>
      </c>
      <c r="O43" s="58">
        <f>IF(LOOKUP($K$11,Lookups!$AT$59:$AT$65,Lookups!$AZ$59:$AZ$65)=0,"",LOOKUP($K$11,Lookups!$AT$59:$AT$65,Lookups!$AZ$59:$AZ$65)*-Inputs!$E$27)</f>
        <v>0</v>
      </c>
      <c r="P43" s="58">
        <f t="shared" ref="P43:P44" si="15">SUM(M43:O43)</f>
        <v>0</v>
      </c>
      <c r="Q43" s="41"/>
      <c r="R43" s="53">
        <f t="shared" ref="R43:R44" si="16">P43-I43</f>
        <v>0</v>
      </c>
    </row>
    <row r="44" spans="2:18" ht="19.5" customHeight="1" x14ac:dyDescent="0.25">
      <c r="B44" s="41" t="s">
        <v>17</v>
      </c>
      <c r="C44" s="40"/>
      <c r="D44" s="53">
        <f>D43*(1+Inputs!$C$67)</f>
        <v>0</v>
      </c>
      <c r="E44" s="54">
        <f>IF(Inputs!C75=0,Lookups!$W$50,Inputs!C75)</f>
        <v>0.25</v>
      </c>
      <c r="F44" s="59">
        <f t="shared" si="9"/>
        <v>0</v>
      </c>
      <c r="G44" s="59">
        <f>D44*Lookups!X50</f>
        <v>0</v>
      </c>
      <c r="H44" s="59"/>
      <c r="I44" s="55">
        <f t="shared" si="14"/>
        <v>0</v>
      </c>
      <c r="J44" s="56"/>
      <c r="K44" s="53">
        <f>K43*(1+Inputs!$C$67)</f>
        <v>0</v>
      </c>
      <c r="L44" s="57">
        <f>IF(Inputs!C$75=0,Lookups!$AA$50,Inputs!C$75)</f>
        <v>0.25</v>
      </c>
      <c r="M44" s="60">
        <f t="shared" si="11"/>
        <v>0</v>
      </c>
      <c r="N44" s="58">
        <f>K44*Lookups!$AB$50</f>
        <v>0</v>
      </c>
      <c r="O44" s="58">
        <f>IF(LOOKUP($K$11,Lookups!$AT$59:$AT$65,Lookups!$BA$59:$BA$65)=0,"",LOOKUP($K$11,Lookups!$AT$59:$AT$65,Lookups!$BA$59:$BA$65)*-Inputs!$E$27)</f>
        <v>0</v>
      </c>
      <c r="P44" s="58">
        <f t="shared" si="15"/>
        <v>0</v>
      </c>
      <c r="Q44" s="41"/>
      <c r="R44" s="53">
        <f t="shared" si="16"/>
        <v>0</v>
      </c>
    </row>
    <row r="45" spans="2:18" ht="19.5" customHeight="1" thickBot="1" x14ac:dyDescent="0.3">
      <c r="B45" s="61" t="s">
        <v>18</v>
      </c>
      <c r="C45" s="61"/>
      <c r="D45" s="62"/>
      <c r="E45" s="63"/>
      <c r="F45" s="64">
        <f>SUM(F38:F44)</f>
        <v>0</v>
      </c>
      <c r="G45" s="64">
        <f t="shared" ref="G45:I45" si="17">SUM(G38:G44)</f>
        <v>0</v>
      </c>
      <c r="H45" s="64"/>
      <c r="I45" s="64">
        <f t="shared" si="17"/>
        <v>0</v>
      </c>
      <c r="J45" s="56"/>
      <c r="K45" s="62"/>
      <c r="L45" s="65"/>
      <c r="M45" s="66">
        <f>SUM(M38:M44)</f>
        <v>0</v>
      </c>
      <c r="N45" s="66">
        <f>SUM(N38:N44)</f>
        <v>0</v>
      </c>
      <c r="O45" s="66">
        <f>SUM(O38:O44)</f>
        <v>0</v>
      </c>
      <c r="P45" s="66">
        <f>SUM(P38:P44)</f>
        <v>0</v>
      </c>
      <c r="Q45" s="41"/>
      <c r="R45" s="107">
        <f>SUM(R38:R44)</f>
        <v>0</v>
      </c>
    </row>
    <row r="46" spans="2:18" ht="13.8" thickTop="1" x14ac:dyDescent="0.25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</row>
    <row r="47" spans="2:18" ht="12.75" customHeight="1" x14ac:dyDescent="0.25">
      <c r="B47" s="41"/>
      <c r="C47" s="41"/>
      <c r="D47" s="41"/>
      <c r="E47" s="41"/>
      <c r="F47" s="41"/>
      <c r="G47" s="41"/>
      <c r="H47" s="41"/>
      <c r="I47" s="199"/>
      <c r="J47" s="200"/>
      <c r="K47" s="200"/>
      <c r="L47" s="200"/>
      <c r="M47" s="41"/>
      <c r="N47" s="41"/>
      <c r="O47" s="41"/>
      <c r="P47" s="41"/>
      <c r="Q47" s="41"/>
      <c r="R47" s="41"/>
    </row>
    <row r="48" spans="2:18" x14ac:dyDescent="0.25">
      <c r="B48" s="41"/>
      <c r="C48" s="41"/>
      <c r="D48" s="41"/>
      <c r="E48" s="41"/>
      <c r="F48" s="41"/>
      <c r="G48" s="41"/>
      <c r="H48" s="41"/>
      <c r="I48" s="199"/>
      <c r="J48" s="200"/>
      <c r="K48" s="200"/>
      <c r="L48" s="200"/>
      <c r="M48" s="41"/>
      <c r="N48" s="67" t="str">
        <f>IFERROR(R45/I45,"N/A")</f>
        <v>N/A</v>
      </c>
      <c r="O48" s="40"/>
      <c r="P48" s="41"/>
      <c r="Q48" s="41"/>
      <c r="R48" s="41"/>
    </row>
    <row r="49" spans="2:18" x14ac:dyDescent="0.25">
      <c r="B49" s="41"/>
      <c r="C49" s="41"/>
      <c r="D49" s="41"/>
      <c r="E49" s="41"/>
      <c r="F49" s="41"/>
      <c r="G49" s="41"/>
      <c r="H49" s="41"/>
      <c r="I49" s="199"/>
      <c r="J49" s="200"/>
      <c r="K49" s="200"/>
      <c r="L49" s="200"/>
      <c r="M49" s="41"/>
      <c r="N49" s="41"/>
      <c r="O49" s="41"/>
      <c r="P49" s="41"/>
      <c r="Q49" s="41"/>
      <c r="R49" s="41"/>
    </row>
    <row r="50" spans="2:18" hidden="1" x14ac:dyDescent="0.25">
      <c r="B50" s="41"/>
      <c r="C50" s="41"/>
      <c r="D50" s="41"/>
      <c r="E50" s="41"/>
      <c r="F50" s="41"/>
      <c r="G50" s="41"/>
      <c r="H50" s="41"/>
      <c r="I50" s="41"/>
      <c r="J50" s="40"/>
      <c r="K50" s="41"/>
      <c r="L50" s="41"/>
      <c r="M50" s="41"/>
      <c r="N50" s="41"/>
      <c r="O50" s="41"/>
      <c r="P50" s="41"/>
      <c r="Q50" s="41"/>
      <c r="R50" s="41"/>
    </row>
    <row r="51" spans="2:18" ht="12.75" hidden="1" customHeight="1" x14ac:dyDescent="0.25"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68">
        <f>M45-F45</f>
        <v>0</v>
      </c>
      <c r="N51" s="68">
        <f>N45-G45</f>
        <v>0</v>
      </c>
      <c r="O51" s="68">
        <f>P45-I45</f>
        <v>0</v>
      </c>
      <c r="P51" s="68">
        <f>P45-J45</f>
        <v>0</v>
      </c>
      <c r="R51" s="41"/>
    </row>
    <row r="52" spans="2:18" ht="17.399999999999999" hidden="1" x14ac:dyDescent="0.3"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7"/>
      <c r="M52" s="47"/>
      <c r="N52" s="47"/>
      <c r="O52" s="47"/>
      <c r="P52" s="47"/>
      <c r="Q52" s="41"/>
      <c r="R52" s="41"/>
    </row>
    <row r="53" spans="2:18" ht="17.399999999999999" hidden="1" x14ac:dyDescent="0.3">
      <c r="B53" s="41"/>
      <c r="C53" s="46" t="s">
        <v>11</v>
      </c>
      <c r="D53" s="41"/>
      <c r="E53" s="47"/>
      <c r="F53" s="47"/>
      <c r="G53" s="47"/>
      <c r="H53" s="47"/>
      <c r="I53" s="47"/>
      <c r="J53" s="47"/>
      <c r="K53" s="48">
        <f>+Inputs!C34</f>
        <v>0</v>
      </c>
      <c r="L53" s="41"/>
      <c r="M53" s="41"/>
      <c r="N53" s="41"/>
      <c r="O53" s="41"/>
      <c r="P53" s="41"/>
      <c r="Q53" s="41"/>
      <c r="R53" s="41"/>
    </row>
    <row r="54" spans="2:18" s="45" customFormat="1" ht="15.6" x14ac:dyDescent="0.3">
      <c r="B54" s="164" t="s">
        <v>81</v>
      </c>
      <c r="C54" s="164"/>
      <c r="D54" s="165"/>
      <c r="E54" s="165"/>
      <c r="F54" s="165"/>
      <c r="G54" s="165"/>
      <c r="H54" s="165"/>
      <c r="I54" s="165"/>
      <c r="J54" s="165"/>
      <c r="K54" s="165"/>
      <c r="L54" s="166">
        <f>+Inputs!E31</f>
        <v>0</v>
      </c>
      <c r="M54" s="165"/>
      <c r="N54" s="165"/>
      <c r="O54" s="165"/>
      <c r="P54" s="165"/>
      <c r="Q54" s="165"/>
      <c r="R54" s="165"/>
    </row>
    <row r="55" spans="2:18" x14ac:dyDescent="0.25"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</row>
    <row r="56" spans="2:18" ht="12.75" customHeight="1" x14ac:dyDescent="0.25">
      <c r="B56" s="41"/>
      <c r="C56" s="41"/>
      <c r="D56" s="203" t="s">
        <v>50</v>
      </c>
      <c r="E56" s="204"/>
      <c r="F56" s="204"/>
      <c r="G56" s="204"/>
      <c r="H56" s="204"/>
      <c r="I56" s="205"/>
      <c r="J56" s="49"/>
      <c r="K56" s="203" t="s">
        <v>50</v>
      </c>
      <c r="L56" s="204"/>
      <c r="M56" s="204"/>
      <c r="N56" s="204"/>
      <c r="O56" s="204"/>
      <c r="P56" s="205"/>
      <c r="Q56" s="41"/>
      <c r="R56" s="41"/>
    </row>
    <row r="57" spans="2:18" ht="25.5" customHeight="1" x14ac:dyDescent="0.25">
      <c r="B57" s="41"/>
      <c r="C57" s="41"/>
      <c r="D57" s="167" t="s">
        <v>34</v>
      </c>
      <c r="E57" s="167" t="s">
        <v>77</v>
      </c>
      <c r="F57" s="167" t="s">
        <v>78</v>
      </c>
      <c r="G57" s="167" t="s">
        <v>52</v>
      </c>
      <c r="H57" s="167"/>
      <c r="I57" s="167" t="s">
        <v>5</v>
      </c>
      <c r="J57" s="50"/>
      <c r="K57" s="167" t="s">
        <v>34</v>
      </c>
      <c r="L57" s="167" t="s">
        <v>77</v>
      </c>
      <c r="M57" s="167" t="s">
        <v>78</v>
      </c>
      <c r="N57" s="167" t="s">
        <v>52</v>
      </c>
      <c r="O57" s="167" t="s">
        <v>79</v>
      </c>
      <c r="P57" s="167" t="s">
        <v>5</v>
      </c>
      <c r="Q57" s="41"/>
      <c r="R57" s="168" t="s">
        <v>9</v>
      </c>
    </row>
    <row r="58" spans="2:18" ht="19.5" customHeight="1" x14ac:dyDescent="0.25">
      <c r="B58" s="51" t="s">
        <v>0</v>
      </c>
      <c r="C58" s="52"/>
      <c r="D58" s="53">
        <f>Inputs!$C$33*(1+Inputs!$C$67)</f>
        <v>0</v>
      </c>
      <c r="E58" s="54">
        <f>IF(Inputs!C75=0,Lookups!$W$54,Inputs!C75)</f>
        <v>0.25</v>
      </c>
      <c r="F58" s="55">
        <f t="shared" ref="F58:F64" si="18">D58*E58</f>
        <v>0</v>
      </c>
      <c r="G58" s="55">
        <f>D58*Lookups!X54</f>
        <v>0</v>
      </c>
      <c r="H58" s="55"/>
      <c r="I58" s="55">
        <f t="shared" ref="I58:I62" si="19">SUM(F58:G58)</f>
        <v>0</v>
      </c>
      <c r="J58" s="56"/>
      <c r="K58" s="53">
        <f>(Inputs!$C$33+(Inputs!$C$11*Inputs!$E$33))*(1+Inputs!$C$67)</f>
        <v>0</v>
      </c>
      <c r="L58" s="57">
        <f>IF(Inputs!C$75=0,Lookups!$AA$54,Inputs!C$75)</f>
        <v>0.25</v>
      </c>
      <c r="M58" s="53">
        <f t="shared" ref="M58:M64" si="20">K58*L58</f>
        <v>0</v>
      </c>
      <c r="N58" s="58">
        <f>K58*Lookups!$AB$54</f>
        <v>0</v>
      </c>
      <c r="O58" s="58">
        <f>LOOKUP($K$11,Lookups!$AT$59:$AT$65,Lookups!$AU$59:$AU$65)*-Inputs!$E$33</f>
        <v>0</v>
      </c>
      <c r="P58" s="58">
        <f>SUM(M58:O58)</f>
        <v>0</v>
      </c>
      <c r="Q58" s="41"/>
      <c r="R58" s="53">
        <f>P58-I58</f>
        <v>0</v>
      </c>
    </row>
    <row r="59" spans="2:18" ht="19.5" customHeight="1" x14ac:dyDescent="0.25">
      <c r="B59" s="51" t="s">
        <v>1</v>
      </c>
      <c r="C59" s="52"/>
      <c r="D59" s="53">
        <f>D58*(1+Inputs!$C$67)</f>
        <v>0</v>
      </c>
      <c r="E59" s="54">
        <f>IF(Inputs!C75=0,Lookups!$W$55,Inputs!C75)</f>
        <v>0.25</v>
      </c>
      <c r="F59" s="55">
        <f t="shared" si="18"/>
        <v>0</v>
      </c>
      <c r="G59" s="55">
        <f>D59*Lookups!X55</f>
        <v>0</v>
      </c>
      <c r="H59" s="55"/>
      <c r="I59" s="55">
        <f t="shared" si="19"/>
        <v>0</v>
      </c>
      <c r="J59" s="56"/>
      <c r="K59" s="53">
        <f>K58*(1+Inputs!$C$67)</f>
        <v>0</v>
      </c>
      <c r="L59" s="57">
        <f>IF(Inputs!C$75=0,Lookups!$AA$55,Inputs!C$75)</f>
        <v>0.25</v>
      </c>
      <c r="M59" s="53">
        <f t="shared" si="20"/>
        <v>0</v>
      </c>
      <c r="N59" s="58">
        <f>K59*Lookups!$AB$55</f>
        <v>0</v>
      </c>
      <c r="O59" s="58">
        <f>IF(LOOKUP($K$11,Lookups!$AT$59:$AT$65,Lookups!$AV$59:$AV$65)=0,"",LOOKUP($K$11,Lookups!$AT$59:$AT$65,Lookups!$AV$59:$AV$65)*-Inputs!$E$33)</f>
        <v>0</v>
      </c>
      <c r="P59" s="58">
        <f t="shared" ref="P59:P62" si="21">SUM(M59:O59)</f>
        <v>0</v>
      </c>
      <c r="Q59" s="41"/>
      <c r="R59" s="53">
        <f t="shared" ref="R59:R62" si="22">P59-I59</f>
        <v>0</v>
      </c>
    </row>
    <row r="60" spans="2:18" ht="19.5" customHeight="1" x14ac:dyDescent="0.25">
      <c r="B60" s="51" t="s">
        <v>2</v>
      </c>
      <c r="C60" s="52"/>
      <c r="D60" s="53">
        <f>D59*(1+Inputs!$C$67)</f>
        <v>0</v>
      </c>
      <c r="E60" s="54">
        <f>IF(Inputs!C75=0,Lookups!$W$56,Inputs!C75)</f>
        <v>0.25</v>
      </c>
      <c r="F60" s="55">
        <f t="shared" si="18"/>
        <v>0</v>
      </c>
      <c r="G60" s="55">
        <f>D60*Lookups!X56</f>
        <v>0</v>
      </c>
      <c r="H60" s="55"/>
      <c r="I60" s="55">
        <f t="shared" si="19"/>
        <v>0</v>
      </c>
      <c r="J60" s="56"/>
      <c r="K60" s="53">
        <f>K59*(1+Inputs!$C$67)</f>
        <v>0</v>
      </c>
      <c r="L60" s="57">
        <f>IF(Inputs!C$75=0,Lookups!$AA$56,Inputs!C$75)</f>
        <v>0.25</v>
      </c>
      <c r="M60" s="53">
        <f t="shared" si="20"/>
        <v>0</v>
      </c>
      <c r="N60" s="58">
        <f>K60*Lookups!$AB$56</f>
        <v>0</v>
      </c>
      <c r="O60" s="58">
        <f>IF(LOOKUP($K$11,Lookups!$AT$59:$AT$65,Lookups!$AW$59:$AW$65)=0,"",LOOKUP($K$11,Lookups!$AT$59:$AT$65,Lookups!$AW$59:$AW$65)*-Inputs!$E$33)</f>
        <v>0</v>
      </c>
      <c r="P60" s="58">
        <f t="shared" si="21"/>
        <v>0</v>
      </c>
      <c r="Q60" s="41"/>
      <c r="R60" s="53">
        <f t="shared" si="22"/>
        <v>0</v>
      </c>
    </row>
    <row r="61" spans="2:18" ht="19.5" customHeight="1" x14ac:dyDescent="0.25">
      <c r="B61" s="51" t="s">
        <v>3</v>
      </c>
      <c r="C61" s="52"/>
      <c r="D61" s="53">
        <f>D60*(1+Inputs!$C$67)</f>
        <v>0</v>
      </c>
      <c r="E61" s="54">
        <f>IF(Inputs!C75=0,Lookups!$W$57,Inputs!C75)</f>
        <v>0.25</v>
      </c>
      <c r="F61" s="55">
        <f t="shared" si="18"/>
        <v>0</v>
      </c>
      <c r="G61" s="55">
        <f>D61*Lookups!X57</f>
        <v>0</v>
      </c>
      <c r="H61" s="55"/>
      <c r="I61" s="55">
        <f t="shared" si="19"/>
        <v>0</v>
      </c>
      <c r="J61" s="56"/>
      <c r="K61" s="53">
        <f>K60*(1+Inputs!$C$67)</f>
        <v>0</v>
      </c>
      <c r="L61" s="57">
        <f>IF(Inputs!C$75=0,Lookups!$AA$57,Inputs!C$75)</f>
        <v>0.25</v>
      </c>
      <c r="M61" s="53">
        <f t="shared" si="20"/>
        <v>0</v>
      </c>
      <c r="N61" s="58">
        <f>K61*Lookups!$AB$57</f>
        <v>0</v>
      </c>
      <c r="O61" s="58">
        <f>IF(LOOKUP($K$11,Lookups!$AT$59:$AT$65,Lookups!$AX$59:$AX$65)=0,"",LOOKUP($K$11,Lookups!$AT$59:$AT$65,Lookups!$AX$59:$AX$65)*-Inputs!$E$33)</f>
        <v>0</v>
      </c>
      <c r="P61" s="58">
        <f t="shared" si="21"/>
        <v>0</v>
      </c>
      <c r="Q61" s="41"/>
      <c r="R61" s="53">
        <f t="shared" si="22"/>
        <v>0</v>
      </c>
    </row>
    <row r="62" spans="2:18" ht="19.5" customHeight="1" x14ac:dyDescent="0.25">
      <c r="B62" s="41" t="s">
        <v>4</v>
      </c>
      <c r="C62" s="40"/>
      <c r="D62" s="53">
        <f>D61*(1+Inputs!$C$67)</f>
        <v>0</v>
      </c>
      <c r="E62" s="54">
        <f>IF(Inputs!C75=0,Lookups!$W$58,Inputs!C75)</f>
        <v>0.25</v>
      </c>
      <c r="F62" s="136">
        <f t="shared" si="18"/>
        <v>0</v>
      </c>
      <c r="G62" s="136">
        <f>D62*Lookups!X58</f>
        <v>0</v>
      </c>
      <c r="H62" s="136"/>
      <c r="I62" s="136">
        <f t="shared" si="19"/>
        <v>0</v>
      </c>
      <c r="J62" s="56"/>
      <c r="K62" s="53">
        <f>K61*(1+Inputs!$C$67)</f>
        <v>0</v>
      </c>
      <c r="L62" s="57">
        <f>IF(Inputs!C$75=0,Lookups!$AA$58,Inputs!C$75)</f>
        <v>0.25</v>
      </c>
      <c r="M62" s="135">
        <f t="shared" si="20"/>
        <v>0</v>
      </c>
      <c r="N62" s="58">
        <f>K62*Lookups!$AB$58</f>
        <v>0</v>
      </c>
      <c r="O62" s="58">
        <f>IF(LOOKUP($K$11,Lookups!$AT$59:$AT$65,Lookups!$AY$59:$AY$65)=0,"",LOOKUP($K$11,Lookups!$AT$59:$AT$65,Lookups!$AY$59:$AY$65)*-Inputs!$E$33)</f>
        <v>0</v>
      </c>
      <c r="P62" s="58">
        <f t="shared" si="21"/>
        <v>0</v>
      </c>
      <c r="Q62" s="41"/>
      <c r="R62" s="53">
        <f t="shared" si="22"/>
        <v>0</v>
      </c>
    </row>
    <row r="63" spans="2:18" ht="19.5" customHeight="1" x14ac:dyDescent="0.25">
      <c r="B63" s="51" t="s">
        <v>16</v>
      </c>
      <c r="C63" s="52"/>
      <c r="D63" s="53">
        <f>D62*(1+Inputs!$C$67)</f>
        <v>0</v>
      </c>
      <c r="E63" s="54">
        <f>IF(Inputs!C75=0,Lookups!$W$59,Inputs!C75)</f>
        <v>0.25</v>
      </c>
      <c r="F63" s="55">
        <f t="shared" si="18"/>
        <v>0</v>
      </c>
      <c r="G63" s="55">
        <f>D63*Lookups!X59</f>
        <v>0</v>
      </c>
      <c r="H63" s="55"/>
      <c r="I63" s="55">
        <f t="shared" ref="I63:I64" si="23">SUM(F63:G63)</f>
        <v>0</v>
      </c>
      <c r="J63" s="56"/>
      <c r="K63" s="53">
        <f>K62*(1+Inputs!$C$67)</f>
        <v>0</v>
      </c>
      <c r="L63" s="57">
        <f>IF(Inputs!C$75=0,Lookups!$AA$59,Inputs!C$75)</f>
        <v>0.25</v>
      </c>
      <c r="M63" s="53">
        <f t="shared" si="20"/>
        <v>0</v>
      </c>
      <c r="N63" s="58">
        <f>K63*Lookups!$AB$59</f>
        <v>0</v>
      </c>
      <c r="O63" s="58">
        <f>IF(LOOKUP($K$11,Lookups!$AT$59:$AT$65,Lookups!$AZ$59:$AZ$65)=0,"",LOOKUP($K$11,Lookups!$AT$59:$AT$65,Lookups!$AZ$59:$AZ$65)*-Inputs!$E$33)</f>
        <v>0</v>
      </c>
      <c r="P63" s="58">
        <f t="shared" ref="P63:P64" si="24">SUM(M63:O63)</f>
        <v>0</v>
      </c>
      <c r="Q63" s="41"/>
      <c r="R63" s="53">
        <f t="shared" ref="R63:R64" si="25">P63-I63</f>
        <v>0</v>
      </c>
    </row>
    <row r="64" spans="2:18" ht="19.5" customHeight="1" x14ac:dyDescent="0.25">
      <c r="B64" s="41" t="s">
        <v>17</v>
      </c>
      <c r="C64" s="40"/>
      <c r="D64" s="53">
        <f>D63*(1+Inputs!$C$67)</f>
        <v>0</v>
      </c>
      <c r="E64" s="54">
        <f>IF(Inputs!C75=0,Lookups!$W$60,Inputs!C75)</f>
        <v>0.25</v>
      </c>
      <c r="F64" s="59">
        <f t="shared" si="18"/>
        <v>0</v>
      </c>
      <c r="G64" s="59">
        <f>D64*Lookups!X60</f>
        <v>0</v>
      </c>
      <c r="H64" s="59"/>
      <c r="I64" s="55">
        <f t="shared" si="23"/>
        <v>0</v>
      </c>
      <c r="J64" s="56"/>
      <c r="K64" s="53">
        <f>K63*(1+Inputs!$C$67)</f>
        <v>0</v>
      </c>
      <c r="L64" s="57">
        <f>IF(Inputs!C$75=0,Lookups!$AA$60,Inputs!C$75)</f>
        <v>0.25</v>
      </c>
      <c r="M64" s="60">
        <f t="shared" si="20"/>
        <v>0</v>
      </c>
      <c r="N64" s="58">
        <f>K64*Lookups!$AB$60</f>
        <v>0</v>
      </c>
      <c r="O64" s="58">
        <f>IF(LOOKUP($K$11,Lookups!$AT$59:$AT$65,Lookups!$BA$59:$BA$65)=0,"",LOOKUP($K$11,Lookups!$AT$59:$AT$65,Lookups!$BA$59:$BA$65)*-Inputs!$E$33)</f>
        <v>0</v>
      </c>
      <c r="P64" s="58">
        <f t="shared" si="24"/>
        <v>0</v>
      </c>
      <c r="Q64" s="41"/>
      <c r="R64" s="53">
        <f t="shared" si="25"/>
        <v>0</v>
      </c>
    </row>
    <row r="65" spans="2:18" ht="19.5" customHeight="1" thickBot="1" x14ac:dyDescent="0.3">
      <c r="B65" s="61" t="s">
        <v>18</v>
      </c>
      <c r="C65" s="61"/>
      <c r="D65" s="62"/>
      <c r="E65" s="63"/>
      <c r="F65" s="64">
        <f>SUM(F58:F64)</f>
        <v>0</v>
      </c>
      <c r="G65" s="64">
        <f>SUM(G58:G64)</f>
        <v>0</v>
      </c>
      <c r="H65" s="64"/>
      <c r="I65" s="64">
        <f>SUM(I58:I64)</f>
        <v>0</v>
      </c>
      <c r="J65" s="56"/>
      <c r="K65" s="62"/>
      <c r="L65" s="65"/>
      <c r="M65" s="66">
        <f>SUM(M58:M64)</f>
        <v>0</v>
      </c>
      <c r="N65" s="66">
        <f t="shared" ref="N65:P65" si="26">SUM(N58:N64)</f>
        <v>0</v>
      </c>
      <c r="O65" s="66">
        <f t="shared" si="26"/>
        <v>0</v>
      </c>
      <c r="P65" s="66">
        <f t="shared" si="26"/>
        <v>0</v>
      </c>
      <c r="Q65" s="41"/>
      <c r="R65" s="107">
        <f>SUM(R58:R64)</f>
        <v>0</v>
      </c>
    </row>
    <row r="66" spans="2:18" ht="13.8" thickTop="1" x14ac:dyDescent="0.25"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</row>
    <row r="67" spans="2:18" ht="12.75" customHeight="1" x14ac:dyDescent="0.25">
      <c r="B67" s="41"/>
      <c r="C67" s="41"/>
      <c r="D67" s="41"/>
      <c r="E67" s="41"/>
      <c r="F67" s="41"/>
      <c r="G67" s="41"/>
      <c r="H67" s="41"/>
      <c r="I67" s="199"/>
      <c r="J67" s="200"/>
      <c r="K67" s="200"/>
      <c r="L67" s="200"/>
      <c r="M67" s="41"/>
      <c r="N67" s="41"/>
      <c r="O67" s="41"/>
      <c r="P67" s="41"/>
      <c r="Q67" s="41"/>
      <c r="R67" s="41"/>
    </row>
    <row r="68" spans="2:18" x14ac:dyDescent="0.25">
      <c r="B68" s="41"/>
      <c r="C68" s="41"/>
      <c r="D68" s="41"/>
      <c r="E68" s="41"/>
      <c r="F68" s="41"/>
      <c r="G68" s="41"/>
      <c r="H68" s="41"/>
      <c r="I68" s="199"/>
      <c r="J68" s="200"/>
      <c r="K68" s="200"/>
      <c r="L68" s="200"/>
      <c r="M68" s="41"/>
      <c r="N68" s="67" t="str">
        <f>IFERROR(R65/I65,"N/A")</f>
        <v>N/A</v>
      </c>
      <c r="O68" s="40"/>
      <c r="P68" s="41"/>
      <c r="Q68" s="41"/>
      <c r="R68" s="41"/>
    </row>
    <row r="69" spans="2:18" x14ac:dyDescent="0.25">
      <c r="B69" s="41"/>
      <c r="C69" s="41"/>
      <c r="D69" s="41"/>
      <c r="E69" s="41"/>
      <c r="F69" s="41"/>
      <c r="G69" s="41"/>
      <c r="H69" s="41"/>
      <c r="I69" s="199"/>
      <c r="J69" s="200"/>
      <c r="K69" s="200"/>
      <c r="L69" s="200"/>
      <c r="M69" s="41"/>
      <c r="N69" s="41"/>
      <c r="O69" s="41"/>
      <c r="P69" s="41"/>
      <c r="Q69" s="41"/>
      <c r="R69" s="41"/>
    </row>
    <row r="70" spans="2:18" x14ac:dyDescent="0.25">
      <c r="B70" s="41"/>
      <c r="C70" s="41"/>
      <c r="D70" s="41"/>
      <c r="E70" s="41"/>
      <c r="F70" s="41"/>
      <c r="G70" s="41"/>
      <c r="H70" s="41"/>
      <c r="I70" s="41"/>
      <c r="J70" s="40"/>
      <c r="K70" s="41"/>
      <c r="L70" s="41"/>
      <c r="M70" s="41"/>
      <c r="N70" s="41"/>
      <c r="O70" s="41"/>
      <c r="P70" s="41"/>
      <c r="Q70" s="41"/>
      <c r="R70" s="41"/>
    </row>
    <row r="71" spans="2:18" ht="12.75" hidden="1" customHeight="1" x14ac:dyDescent="0.25"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68">
        <f>M65-F65</f>
        <v>0</v>
      </c>
      <c r="N71" s="68">
        <f>N65-G65</f>
        <v>0</v>
      </c>
      <c r="O71" s="68">
        <f>P65-I65</f>
        <v>0</v>
      </c>
      <c r="P71" s="68">
        <f>P65-J65</f>
        <v>0</v>
      </c>
      <c r="R71" s="41"/>
    </row>
    <row r="72" spans="2:18" s="45" customFormat="1" ht="15.6" x14ac:dyDescent="0.3">
      <c r="B72" s="164" t="s">
        <v>82</v>
      </c>
      <c r="C72" s="164"/>
      <c r="D72" s="165"/>
      <c r="E72" s="165"/>
      <c r="F72" s="165"/>
      <c r="G72" s="165"/>
      <c r="H72" s="165"/>
      <c r="I72" s="165"/>
      <c r="J72" s="165"/>
      <c r="K72" s="165"/>
      <c r="L72" s="166">
        <f>+Inputs!E37</f>
        <v>0</v>
      </c>
      <c r="M72" s="165"/>
      <c r="N72" s="165"/>
      <c r="O72" s="165"/>
      <c r="P72" s="165"/>
      <c r="Q72" s="165"/>
      <c r="R72" s="165"/>
    </row>
    <row r="73" spans="2:18" x14ac:dyDescent="0.25"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</row>
    <row r="74" spans="2:18" ht="12.75" customHeight="1" x14ac:dyDescent="0.25">
      <c r="B74" s="41"/>
      <c r="C74" s="41"/>
      <c r="D74" s="203" t="s">
        <v>50</v>
      </c>
      <c r="E74" s="204"/>
      <c r="F74" s="204"/>
      <c r="G74" s="204"/>
      <c r="H74" s="204"/>
      <c r="I74" s="205"/>
      <c r="J74" s="49"/>
      <c r="K74" s="203" t="s">
        <v>50</v>
      </c>
      <c r="L74" s="204"/>
      <c r="M74" s="204"/>
      <c r="N74" s="204"/>
      <c r="O74" s="204"/>
      <c r="P74" s="205"/>
      <c r="Q74" s="41"/>
      <c r="R74" s="41"/>
    </row>
    <row r="75" spans="2:18" ht="25.5" customHeight="1" x14ac:dyDescent="0.25">
      <c r="B75" s="41"/>
      <c r="C75" s="41"/>
      <c r="D75" s="167" t="s">
        <v>34</v>
      </c>
      <c r="E75" s="167" t="s">
        <v>77</v>
      </c>
      <c r="F75" s="167" t="s">
        <v>78</v>
      </c>
      <c r="G75" s="167" t="s">
        <v>52</v>
      </c>
      <c r="H75" s="167"/>
      <c r="I75" s="167" t="s">
        <v>5</v>
      </c>
      <c r="J75" s="50"/>
      <c r="K75" s="167" t="s">
        <v>34</v>
      </c>
      <c r="L75" s="167" t="s">
        <v>77</v>
      </c>
      <c r="M75" s="167" t="s">
        <v>78</v>
      </c>
      <c r="N75" s="167" t="s">
        <v>52</v>
      </c>
      <c r="O75" s="167" t="s">
        <v>79</v>
      </c>
      <c r="P75" s="167" t="s">
        <v>5</v>
      </c>
      <c r="Q75" s="41"/>
      <c r="R75" s="168" t="s">
        <v>9</v>
      </c>
    </row>
    <row r="76" spans="2:18" ht="19.5" customHeight="1" x14ac:dyDescent="0.25">
      <c r="B76" s="51" t="s">
        <v>0</v>
      </c>
      <c r="C76" s="52"/>
      <c r="D76" s="53">
        <f>Inputs!$C$39*(1+Inputs!$C$67)</f>
        <v>0</v>
      </c>
      <c r="E76" s="54">
        <f>IF(Inputs!C75=0,Lookups!$W$64,Inputs!C75)</f>
        <v>0.25</v>
      </c>
      <c r="F76" s="55">
        <f t="shared" ref="F76:F82" si="27">D76*E76</f>
        <v>0</v>
      </c>
      <c r="G76" s="55">
        <f>D76*Lookups!X64</f>
        <v>0</v>
      </c>
      <c r="H76" s="55"/>
      <c r="I76" s="55">
        <f t="shared" ref="I76:I80" si="28">SUM(F76:G76)</f>
        <v>0</v>
      </c>
      <c r="J76" s="56"/>
      <c r="K76" s="53">
        <f>(Inputs!$C$39+(Inputs!$C$11*Inputs!$E$39))*(1+Inputs!$C$67)</f>
        <v>0</v>
      </c>
      <c r="L76" s="57">
        <f>IF(Inputs!C$75=0,Lookups!$AA$64,Inputs!C$75)</f>
        <v>0.25</v>
      </c>
      <c r="M76" s="53">
        <f t="shared" ref="M76:M82" si="29">K76*L76</f>
        <v>0</v>
      </c>
      <c r="N76" s="58">
        <f>K76*Lookups!$AB$64</f>
        <v>0</v>
      </c>
      <c r="O76" s="58">
        <f>LOOKUP($K$11,Lookups!$AT$59:$AT$65,Lookups!$AU$59:$AU$65)*-Inputs!$E$39</f>
        <v>0</v>
      </c>
      <c r="P76" s="58">
        <f>SUM(M76:O76)</f>
        <v>0</v>
      </c>
      <c r="Q76" s="41"/>
      <c r="R76" s="53">
        <f>P76-I76</f>
        <v>0</v>
      </c>
    </row>
    <row r="77" spans="2:18" ht="19.5" customHeight="1" x14ac:dyDescent="0.25">
      <c r="B77" s="51" t="s">
        <v>1</v>
      </c>
      <c r="C77" s="52"/>
      <c r="D77" s="53">
        <f>D76*(1+Inputs!$C$67)</f>
        <v>0</v>
      </c>
      <c r="E77" s="54">
        <f>IF(Inputs!C75=0,Lookups!$W$65,Inputs!C75)</f>
        <v>0.25</v>
      </c>
      <c r="F77" s="55">
        <f t="shared" si="27"/>
        <v>0</v>
      </c>
      <c r="G77" s="55">
        <f>D77*Lookups!X65</f>
        <v>0</v>
      </c>
      <c r="H77" s="55"/>
      <c r="I77" s="55">
        <f t="shared" si="28"/>
        <v>0</v>
      </c>
      <c r="J77" s="56"/>
      <c r="K77" s="53">
        <f>K76*(1+Inputs!$C$67)</f>
        <v>0</v>
      </c>
      <c r="L77" s="57">
        <f>IF(Inputs!C$75=0,Lookups!$AA$65,Inputs!C$75)</f>
        <v>0.25</v>
      </c>
      <c r="M77" s="53">
        <f t="shared" si="29"/>
        <v>0</v>
      </c>
      <c r="N77" s="58">
        <f>K77*Lookups!$AB$65</f>
        <v>0</v>
      </c>
      <c r="O77" s="58">
        <f>IF(LOOKUP($K$11,Lookups!$AT$59:$AT$65,Lookups!$AV$59:$AV$65)=0,"",LOOKUP($K$11,Lookups!$AT$59:$AT$65,Lookups!$AV$59:$AV$65)*-Inputs!$E$39)</f>
        <v>0</v>
      </c>
      <c r="P77" s="58">
        <f t="shared" ref="P77:P80" si="30">SUM(M77:O77)</f>
        <v>0</v>
      </c>
      <c r="Q77" s="41"/>
      <c r="R77" s="53">
        <f t="shared" ref="R77:R80" si="31">P77-I77</f>
        <v>0</v>
      </c>
    </row>
    <row r="78" spans="2:18" ht="19.5" customHeight="1" x14ac:dyDescent="0.25">
      <c r="B78" s="51" t="s">
        <v>2</v>
      </c>
      <c r="C78" s="52"/>
      <c r="D78" s="53">
        <f>D77*(1+Inputs!$C$67)</f>
        <v>0</v>
      </c>
      <c r="E78" s="54">
        <f>IF(Inputs!C75=0,Lookups!$W$66,Inputs!C75)</f>
        <v>0.25</v>
      </c>
      <c r="F78" s="55">
        <f t="shared" si="27"/>
        <v>0</v>
      </c>
      <c r="G78" s="55">
        <f>D78*Lookups!X66</f>
        <v>0</v>
      </c>
      <c r="H78" s="55"/>
      <c r="I78" s="55">
        <f t="shared" si="28"/>
        <v>0</v>
      </c>
      <c r="J78" s="56"/>
      <c r="K78" s="53">
        <f>K77*(1+Inputs!$C$67)</f>
        <v>0</v>
      </c>
      <c r="L78" s="57">
        <f>IF(Inputs!C$75=0,Lookups!$AA$66,Inputs!C$75)</f>
        <v>0.25</v>
      </c>
      <c r="M78" s="53">
        <f t="shared" si="29"/>
        <v>0</v>
      </c>
      <c r="N78" s="58">
        <f>K78*Lookups!$AB$66</f>
        <v>0</v>
      </c>
      <c r="O78" s="58">
        <f>IF(LOOKUP($K$11,Lookups!$AT$59:$AT$65,Lookups!$AW$59:$AW$65)=0,"",LOOKUP($K$11,Lookups!$AT$59:$AT$65,Lookups!$AW$59:$AW$65)*-Inputs!$E$39)</f>
        <v>0</v>
      </c>
      <c r="P78" s="58">
        <f t="shared" si="30"/>
        <v>0</v>
      </c>
      <c r="Q78" s="41"/>
      <c r="R78" s="53">
        <f t="shared" si="31"/>
        <v>0</v>
      </c>
    </row>
    <row r="79" spans="2:18" ht="19.5" customHeight="1" x14ac:dyDescent="0.25">
      <c r="B79" s="51" t="s">
        <v>3</v>
      </c>
      <c r="C79" s="52"/>
      <c r="D79" s="53">
        <f>D78*(1+Inputs!$C$67)</f>
        <v>0</v>
      </c>
      <c r="E79" s="54">
        <f>IF(Inputs!C75=0,Lookups!$W$67,Inputs!C75)</f>
        <v>0.25</v>
      </c>
      <c r="F79" s="55">
        <f t="shared" si="27"/>
        <v>0</v>
      </c>
      <c r="G79" s="55">
        <f>D79*Lookups!X67</f>
        <v>0</v>
      </c>
      <c r="H79" s="55"/>
      <c r="I79" s="55">
        <f t="shared" si="28"/>
        <v>0</v>
      </c>
      <c r="J79" s="56"/>
      <c r="K79" s="53">
        <f>K78*(1+Inputs!$C$67)</f>
        <v>0</v>
      </c>
      <c r="L79" s="57">
        <f>IF(Inputs!C$75=0,Lookups!$AA$67,Inputs!C$75)</f>
        <v>0.25</v>
      </c>
      <c r="M79" s="53">
        <f t="shared" si="29"/>
        <v>0</v>
      </c>
      <c r="N79" s="58">
        <f>K79*Lookups!$AB$67</f>
        <v>0</v>
      </c>
      <c r="O79" s="58">
        <f ca="1">IF(LOOKUP($K$11,Lookups!$AT$59:$AT$65,Lookups!$AX$59:$AX$63)=0,"",LOOKUP($K$11,Lookups!$AT$59:$AT$65,Lookups!$AX$59:$AX$65)*-Inputs!$E$39)</f>
        <v>0</v>
      </c>
      <c r="P79" s="58">
        <f t="shared" ca="1" si="30"/>
        <v>0</v>
      </c>
      <c r="Q79" s="41"/>
      <c r="R79" s="53">
        <f t="shared" ca="1" si="31"/>
        <v>0</v>
      </c>
    </row>
    <row r="80" spans="2:18" ht="19.5" customHeight="1" x14ac:dyDescent="0.25">
      <c r="B80" s="138" t="s">
        <v>4</v>
      </c>
      <c r="C80" s="139"/>
      <c r="D80" s="135">
        <f>D79*(1+Inputs!$C$67)</f>
        <v>0</v>
      </c>
      <c r="E80" s="140">
        <f>IF(Inputs!C75=0,Lookups!$W$68,Inputs!C75)</f>
        <v>0.25</v>
      </c>
      <c r="F80" s="136">
        <f t="shared" si="27"/>
        <v>0</v>
      </c>
      <c r="G80" s="136">
        <f>D80*Lookups!X68</f>
        <v>0</v>
      </c>
      <c r="H80" s="136"/>
      <c r="I80" s="55">
        <f t="shared" si="28"/>
        <v>0</v>
      </c>
      <c r="J80" s="56"/>
      <c r="K80" s="53">
        <f>K79*(1+Inputs!$C$67)</f>
        <v>0</v>
      </c>
      <c r="L80" s="57">
        <f>IF(Inputs!C$75=0,Lookups!$AA$68,Inputs!C$75)</f>
        <v>0.25</v>
      </c>
      <c r="M80" s="135">
        <f t="shared" si="29"/>
        <v>0</v>
      </c>
      <c r="N80" s="58">
        <f>K80*Lookups!$AB$68</f>
        <v>0</v>
      </c>
      <c r="O80" s="58">
        <f>IF(LOOKUP($K$11,Lookups!$AT$59:$AT$65,Lookups!$AY$59:$AY$65)=0,"",LOOKUP($K$11,Lookups!$AT$59:$AT$65,Lookups!$AY$59:$AY$65)*-Inputs!$E$39)</f>
        <v>0</v>
      </c>
      <c r="P80" s="58">
        <f t="shared" si="30"/>
        <v>0</v>
      </c>
      <c r="Q80" s="41"/>
      <c r="R80" s="53">
        <f t="shared" si="31"/>
        <v>0</v>
      </c>
    </row>
    <row r="81" spans="2:18" ht="19.5" customHeight="1" x14ac:dyDescent="0.25">
      <c r="B81" s="51" t="s">
        <v>16</v>
      </c>
      <c r="C81" s="52"/>
      <c r="D81" s="53">
        <f>D80*(1+Inputs!$C$67)</f>
        <v>0</v>
      </c>
      <c r="E81" s="54">
        <f>IF(Inputs!C75=0,Lookups!$W$69,Inputs!C75)</f>
        <v>0.25</v>
      </c>
      <c r="F81" s="55">
        <f t="shared" si="27"/>
        <v>0</v>
      </c>
      <c r="G81" s="55">
        <f>D81*Lookups!X69</f>
        <v>0</v>
      </c>
      <c r="H81" s="55"/>
      <c r="I81" s="55">
        <f t="shared" ref="I81:I82" si="32">SUM(F81:G81)</f>
        <v>0</v>
      </c>
      <c r="J81" s="56"/>
      <c r="K81" s="53">
        <f>K80*(1+Inputs!$C$67)</f>
        <v>0</v>
      </c>
      <c r="L81" s="57">
        <f>IF(Inputs!C$75=0,Lookups!$AA$69,Inputs!C$75)</f>
        <v>0.25</v>
      </c>
      <c r="M81" s="53">
        <f t="shared" si="29"/>
        <v>0</v>
      </c>
      <c r="N81" s="58">
        <f>K81*Lookups!$AB$69</f>
        <v>0</v>
      </c>
      <c r="O81" s="58">
        <f>IF(LOOKUP($K$11,Lookups!$AT$59:$AT$65,Lookups!$AZ$59:$AZ$65)=0,"",LOOKUP($K$11,Lookups!$AT$59:$AT$65,Lookups!$AZ$59:$AZ$65)*-Inputs!$E$39)</f>
        <v>0</v>
      </c>
      <c r="P81" s="58">
        <f t="shared" ref="P81:P82" si="33">SUM(M81:O81)</f>
        <v>0</v>
      </c>
      <c r="Q81" s="41"/>
      <c r="R81" s="53">
        <f t="shared" ref="R81:R82" si="34">P81-I81</f>
        <v>0</v>
      </c>
    </row>
    <row r="82" spans="2:18" ht="19.5" customHeight="1" x14ac:dyDescent="0.25">
      <c r="B82" s="41" t="s">
        <v>17</v>
      </c>
      <c r="C82" s="40"/>
      <c r="D82" s="53">
        <f>D81*(1+Inputs!$C$67)</f>
        <v>0</v>
      </c>
      <c r="E82" s="54">
        <f>IF(Inputs!C75=0,Lookups!$W$70,Inputs!C75)</f>
        <v>0.25</v>
      </c>
      <c r="F82" s="59">
        <f t="shared" si="27"/>
        <v>0</v>
      </c>
      <c r="G82" s="59">
        <f>D82*Lookups!X70</f>
        <v>0</v>
      </c>
      <c r="H82" s="59"/>
      <c r="I82" s="55">
        <f t="shared" si="32"/>
        <v>0</v>
      </c>
      <c r="J82" s="56"/>
      <c r="K82" s="53">
        <f>K81*(1+Inputs!$C$67)</f>
        <v>0</v>
      </c>
      <c r="L82" s="57">
        <f>IF(Inputs!C$75=0,Lookups!$AA$70,Inputs!C$75)</f>
        <v>0.25</v>
      </c>
      <c r="M82" s="60">
        <f t="shared" si="29"/>
        <v>0</v>
      </c>
      <c r="N82" s="58">
        <f>K82*Lookups!$AB$70</f>
        <v>0</v>
      </c>
      <c r="O82" s="58">
        <f>IF(LOOKUP($K$11,Lookups!$AT$59:$AT$65,Lookups!$BA$59:$BA$65)=0,"",LOOKUP($K$11,Lookups!$AT$59:$AT$65,Lookups!$BA$59:$BA$65)*-Inputs!$E$39)</f>
        <v>0</v>
      </c>
      <c r="P82" s="58">
        <f t="shared" si="33"/>
        <v>0</v>
      </c>
      <c r="Q82" s="41"/>
      <c r="R82" s="53">
        <f t="shared" si="34"/>
        <v>0</v>
      </c>
    </row>
    <row r="83" spans="2:18" ht="19.5" customHeight="1" thickBot="1" x14ac:dyDescent="0.3">
      <c r="B83" s="61" t="s">
        <v>18</v>
      </c>
      <c r="C83" s="61"/>
      <c r="D83" s="62"/>
      <c r="E83" s="63"/>
      <c r="F83" s="64">
        <f>SUM(F76:F82)</f>
        <v>0</v>
      </c>
      <c r="G83" s="64">
        <f t="shared" ref="G83:I83" si="35">SUM(G76:G82)</f>
        <v>0</v>
      </c>
      <c r="H83" s="64"/>
      <c r="I83" s="64">
        <f t="shared" si="35"/>
        <v>0</v>
      </c>
      <c r="J83" s="56"/>
      <c r="K83" s="62"/>
      <c r="L83" s="65"/>
      <c r="M83" s="66">
        <f>SUM(M76:M82)</f>
        <v>0</v>
      </c>
      <c r="N83" s="66">
        <f t="shared" ref="N83:P83" si="36">SUM(N76:N82)</f>
        <v>0</v>
      </c>
      <c r="O83" s="66">
        <f t="shared" ca="1" si="36"/>
        <v>0</v>
      </c>
      <c r="P83" s="66">
        <f t="shared" ca="1" si="36"/>
        <v>0</v>
      </c>
      <c r="Q83" s="41"/>
      <c r="R83" s="107">
        <f ca="1">SUM(R76:R82)</f>
        <v>0</v>
      </c>
    </row>
    <row r="84" spans="2:18" ht="13.8" thickTop="1" x14ac:dyDescent="0.25"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</row>
    <row r="85" spans="2:18" ht="12.75" customHeight="1" x14ac:dyDescent="0.25">
      <c r="B85" s="41"/>
      <c r="C85" s="41"/>
      <c r="D85" s="41"/>
      <c r="E85" s="41"/>
      <c r="F85" s="41"/>
      <c r="G85" s="41"/>
      <c r="H85" s="41"/>
      <c r="I85" s="199"/>
      <c r="J85" s="200"/>
      <c r="K85" s="200"/>
      <c r="L85" s="200"/>
      <c r="M85" s="41"/>
      <c r="N85" s="41"/>
      <c r="O85" s="41"/>
      <c r="P85" s="41"/>
      <c r="Q85" s="41"/>
      <c r="R85" s="41"/>
    </row>
    <row r="86" spans="2:18" x14ac:dyDescent="0.25">
      <c r="B86" s="41"/>
      <c r="C86" s="41"/>
      <c r="D86" s="41"/>
      <c r="E86" s="41"/>
      <c r="F86" s="41"/>
      <c r="G86" s="41"/>
      <c r="H86" s="41"/>
      <c r="I86" s="199"/>
      <c r="J86" s="200"/>
      <c r="K86" s="200"/>
      <c r="L86" s="200"/>
      <c r="M86" s="41"/>
      <c r="N86" s="67" t="str">
        <f ca="1">IFERROR(R83/I83,"N/A")</f>
        <v>N/A</v>
      </c>
      <c r="O86" s="40"/>
      <c r="P86" s="41"/>
      <c r="Q86" s="41"/>
      <c r="R86" s="41"/>
    </row>
    <row r="87" spans="2:18" x14ac:dyDescent="0.25">
      <c r="B87" s="41"/>
      <c r="C87" s="41"/>
      <c r="D87" s="41"/>
      <c r="E87" s="41"/>
      <c r="F87" s="41"/>
      <c r="G87" s="41"/>
      <c r="H87" s="41"/>
      <c r="I87" s="199"/>
      <c r="J87" s="200"/>
      <c r="K87" s="200"/>
      <c r="L87" s="200"/>
      <c r="M87" s="41"/>
      <c r="N87" s="41"/>
      <c r="O87" s="41"/>
      <c r="P87" s="41"/>
      <c r="Q87" s="41"/>
      <c r="R87" s="41"/>
    </row>
    <row r="88" spans="2:18" x14ac:dyDescent="0.25">
      <c r="B88" s="41"/>
      <c r="C88" s="41"/>
      <c r="D88" s="41"/>
      <c r="E88" s="41"/>
      <c r="F88" s="41"/>
      <c r="G88" s="41"/>
      <c r="H88" s="41"/>
      <c r="I88" s="115"/>
      <c r="J88" s="116"/>
      <c r="K88" s="116"/>
      <c r="L88" s="116"/>
      <c r="M88" s="41"/>
      <c r="N88" s="41"/>
      <c r="O88" s="41"/>
      <c r="P88" s="41"/>
      <c r="Q88" s="41"/>
      <c r="R88" s="41"/>
    </row>
    <row r="89" spans="2:18" s="45" customFormat="1" ht="15.6" x14ac:dyDescent="0.3">
      <c r="B89" s="164" t="s">
        <v>83</v>
      </c>
      <c r="C89" s="164"/>
      <c r="D89" s="165"/>
      <c r="E89" s="165"/>
      <c r="F89" s="165"/>
      <c r="G89" s="165"/>
      <c r="H89" s="165"/>
      <c r="I89" s="165"/>
      <c r="J89" s="165"/>
      <c r="K89" s="165"/>
      <c r="L89" s="166">
        <f>+Inputs!E43</f>
        <v>0</v>
      </c>
      <c r="M89" s="165"/>
      <c r="N89" s="165"/>
      <c r="O89" s="165"/>
      <c r="P89" s="165"/>
      <c r="Q89" s="165"/>
      <c r="R89" s="165"/>
    </row>
    <row r="90" spans="2:18" x14ac:dyDescent="0.25"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</row>
    <row r="91" spans="2:18" ht="12.75" customHeight="1" x14ac:dyDescent="0.25">
      <c r="B91" s="41"/>
      <c r="C91" s="41"/>
      <c r="D91" s="203" t="s">
        <v>50</v>
      </c>
      <c r="E91" s="204"/>
      <c r="F91" s="204"/>
      <c r="G91" s="204"/>
      <c r="H91" s="204"/>
      <c r="I91" s="205"/>
      <c r="J91" s="49"/>
      <c r="K91" s="203" t="s">
        <v>50</v>
      </c>
      <c r="L91" s="204"/>
      <c r="M91" s="204"/>
      <c r="N91" s="204"/>
      <c r="O91" s="204"/>
      <c r="P91" s="205"/>
      <c r="Q91" s="41"/>
      <c r="R91" s="41"/>
    </row>
    <row r="92" spans="2:18" ht="25.5" customHeight="1" x14ac:dyDescent="0.25">
      <c r="B92" s="41"/>
      <c r="C92" s="41"/>
      <c r="D92" s="167" t="s">
        <v>34</v>
      </c>
      <c r="E92" s="167" t="s">
        <v>77</v>
      </c>
      <c r="F92" s="167" t="s">
        <v>78</v>
      </c>
      <c r="G92" s="167" t="s">
        <v>52</v>
      </c>
      <c r="H92" s="167"/>
      <c r="I92" s="167" t="s">
        <v>5</v>
      </c>
      <c r="J92" s="50"/>
      <c r="K92" s="167" t="s">
        <v>34</v>
      </c>
      <c r="L92" s="167" t="s">
        <v>77</v>
      </c>
      <c r="M92" s="167" t="s">
        <v>78</v>
      </c>
      <c r="N92" s="167" t="s">
        <v>52</v>
      </c>
      <c r="O92" s="167" t="s">
        <v>79</v>
      </c>
      <c r="P92" s="167" t="s">
        <v>5</v>
      </c>
      <c r="Q92" s="41"/>
      <c r="R92" s="168" t="s">
        <v>9</v>
      </c>
    </row>
    <row r="93" spans="2:18" ht="19.5" customHeight="1" x14ac:dyDescent="0.25">
      <c r="B93" s="51" t="s">
        <v>0</v>
      </c>
      <c r="C93" s="52"/>
      <c r="D93" s="53">
        <f>Inputs!$C$45*(1+Inputs!$C$67)</f>
        <v>0</v>
      </c>
      <c r="E93" s="54">
        <f>IF(Inputs!C75=0,Lookups!$W$74,Inputs!C75)</f>
        <v>0.25</v>
      </c>
      <c r="F93" s="55">
        <f t="shared" ref="F93:F99" si="37">D93*E93</f>
        <v>0</v>
      </c>
      <c r="G93" s="55">
        <f>D93*Lookups!X74</f>
        <v>0</v>
      </c>
      <c r="H93" s="55"/>
      <c r="I93" s="55">
        <f t="shared" ref="I93:I97" si="38">SUM(F93:G93)</f>
        <v>0</v>
      </c>
      <c r="J93" s="56"/>
      <c r="K93" s="53">
        <f>(Inputs!$C$45+(Inputs!$C$11*Inputs!$E$45))*(1+Inputs!$C$67)</f>
        <v>0</v>
      </c>
      <c r="L93" s="57">
        <f>IF(Inputs!C$75=0,Lookups!$AA$74,Inputs!C$75)</f>
        <v>0.25</v>
      </c>
      <c r="M93" s="53">
        <f t="shared" ref="M93:M99" si="39">K93*L93</f>
        <v>0</v>
      </c>
      <c r="N93" s="58">
        <f>K93*Lookups!$AB$74</f>
        <v>0</v>
      </c>
      <c r="O93" s="58">
        <f>LOOKUP($K$11,Lookups!$AT$59:$AT$65,Lookups!$AU$59:$AU$65)*-Inputs!$E$45</f>
        <v>0</v>
      </c>
      <c r="P93" s="58">
        <f>SUM(M93:O93)</f>
        <v>0</v>
      </c>
      <c r="Q93" s="41"/>
      <c r="R93" s="53">
        <f>P93-I93</f>
        <v>0</v>
      </c>
    </row>
    <row r="94" spans="2:18" ht="19.5" customHeight="1" x14ac:dyDescent="0.25">
      <c r="B94" s="51" t="s">
        <v>1</v>
      </c>
      <c r="C94" s="52"/>
      <c r="D94" s="53">
        <f>D93*(1+Inputs!$C$67)</f>
        <v>0</v>
      </c>
      <c r="E94" s="54">
        <f>IF(Inputs!C75=0,Lookups!$W$75,Inputs!C75)</f>
        <v>0.25</v>
      </c>
      <c r="F94" s="55">
        <f t="shared" si="37"/>
        <v>0</v>
      </c>
      <c r="G94" s="55">
        <f>D94*Lookups!X75</f>
        <v>0</v>
      </c>
      <c r="H94" s="55"/>
      <c r="I94" s="55">
        <f t="shared" si="38"/>
        <v>0</v>
      </c>
      <c r="J94" s="56"/>
      <c r="K94" s="53">
        <f>K93*(1+Inputs!$C$67)</f>
        <v>0</v>
      </c>
      <c r="L94" s="57">
        <f>IF(Inputs!C$75=0,Lookups!$AA$75,Inputs!C$75)</f>
        <v>0.25</v>
      </c>
      <c r="M94" s="53">
        <f t="shared" si="39"/>
        <v>0</v>
      </c>
      <c r="N94" s="58">
        <f>K94*Lookups!$AB$75</f>
        <v>0</v>
      </c>
      <c r="O94" s="58">
        <f>IF(LOOKUP($K$11,Lookups!$AT$59:$AT$65,Lookups!$AV$59:$AV$65)=0,"",LOOKUP($K$11,Lookups!$AT$59:$AT$65,Lookups!$AV$59:$AV$65)*-Inputs!$E$45)</f>
        <v>0</v>
      </c>
      <c r="P94" s="58">
        <f t="shared" ref="P94:P97" si="40">SUM(M94:O94)</f>
        <v>0</v>
      </c>
      <c r="Q94" s="41"/>
      <c r="R94" s="53">
        <f t="shared" ref="R94:R97" si="41">P94-I94</f>
        <v>0</v>
      </c>
    </row>
    <row r="95" spans="2:18" ht="19.5" customHeight="1" x14ac:dyDescent="0.25">
      <c r="B95" s="51" t="s">
        <v>2</v>
      </c>
      <c r="C95" s="52"/>
      <c r="D95" s="53">
        <f>D94*(1+Inputs!$C$67)</f>
        <v>0</v>
      </c>
      <c r="E95" s="54">
        <f>IF(Inputs!C75=0,Lookups!$W$76,Inputs!C75)</f>
        <v>0.25</v>
      </c>
      <c r="F95" s="55">
        <f t="shared" si="37"/>
        <v>0</v>
      </c>
      <c r="G95" s="55">
        <f>D95*Lookups!X76</f>
        <v>0</v>
      </c>
      <c r="H95" s="55"/>
      <c r="I95" s="55">
        <f>SUM(F95:G95)</f>
        <v>0</v>
      </c>
      <c r="J95" s="56"/>
      <c r="K95" s="53">
        <f>K94*(1+Inputs!$C$67)</f>
        <v>0</v>
      </c>
      <c r="L95" s="57">
        <f>IF(Inputs!C$75=0,Lookups!$AA$76,Inputs!C$75)</f>
        <v>0.25</v>
      </c>
      <c r="M95" s="53">
        <f t="shared" si="39"/>
        <v>0</v>
      </c>
      <c r="N95" s="58">
        <f>K95*Lookups!$AB$76</f>
        <v>0</v>
      </c>
      <c r="O95" s="58">
        <f>IF(LOOKUP($K$11,Lookups!$AT$59:$AT$65,Lookups!$AW$59:$AW$65)=0,"",LOOKUP($K$11,Lookups!$AT$59:$AT$65,Lookups!$AW$59:$AW$65)*-Inputs!$E$45)</f>
        <v>0</v>
      </c>
      <c r="P95" s="58">
        <f t="shared" si="40"/>
        <v>0</v>
      </c>
      <c r="Q95" s="41"/>
      <c r="R95" s="53">
        <f t="shared" si="41"/>
        <v>0</v>
      </c>
    </row>
    <row r="96" spans="2:18" ht="19.5" customHeight="1" x14ac:dyDescent="0.25">
      <c r="B96" s="51" t="s">
        <v>3</v>
      </c>
      <c r="C96" s="52"/>
      <c r="D96" s="53">
        <f>D95*(1+Inputs!$C$67)</f>
        <v>0</v>
      </c>
      <c r="E96" s="54">
        <f>IF(Inputs!C75=0,Lookups!$W$77,Inputs!C75)</f>
        <v>0.25</v>
      </c>
      <c r="F96" s="55">
        <f t="shared" si="37"/>
        <v>0</v>
      </c>
      <c r="G96" s="55">
        <f>D96*Lookups!X77</f>
        <v>0</v>
      </c>
      <c r="H96" s="55"/>
      <c r="I96" s="55">
        <f t="shared" si="38"/>
        <v>0</v>
      </c>
      <c r="J96" s="56"/>
      <c r="K96" s="53">
        <f>K95*(1+Inputs!$C$67)</f>
        <v>0</v>
      </c>
      <c r="L96" s="57">
        <f>IF(Inputs!C$75=0,Lookups!$AA$77,Inputs!C$75)</f>
        <v>0.25</v>
      </c>
      <c r="M96" s="53">
        <f t="shared" si="39"/>
        <v>0</v>
      </c>
      <c r="N96" s="58">
        <f>K96*Lookups!$AB$77</f>
        <v>0</v>
      </c>
      <c r="O96" s="58">
        <f>IF(LOOKUP($K$11,Lookups!$AT$59:$AT$65,Lookups!$AX$59:$AX$65)=0,"",LOOKUP($K$11,Lookups!$AT$59:$AT$65,Lookups!$AX$59:$AX$65)*-Inputs!$E$45)</f>
        <v>0</v>
      </c>
      <c r="P96" s="58">
        <f t="shared" si="40"/>
        <v>0</v>
      </c>
      <c r="Q96" s="41"/>
      <c r="R96" s="53">
        <f t="shared" si="41"/>
        <v>0</v>
      </c>
    </row>
    <row r="97" spans="2:19" ht="19.5" customHeight="1" x14ac:dyDescent="0.25">
      <c r="B97" s="138" t="s">
        <v>4</v>
      </c>
      <c r="C97" s="139"/>
      <c r="D97" s="135">
        <f>D96*(1+Inputs!$C$67)</f>
        <v>0</v>
      </c>
      <c r="E97" s="147">
        <f>IF(Inputs!C75=0,Lookups!$W$78,Inputs!C75)</f>
        <v>0.25</v>
      </c>
      <c r="F97" s="136">
        <f t="shared" si="37"/>
        <v>0</v>
      </c>
      <c r="G97" s="136">
        <f>D97*Lookups!X78</f>
        <v>0</v>
      </c>
      <c r="H97" s="136"/>
      <c r="I97" s="55">
        <f t="shared" si="38"/>
        <v>0</v>
      </c>
      <c r="J97" s="56"/>
      <c r="K97" s="53">
        <f>K96*(1+Inputs!$C$67)</f>
        <v>0</v>
      </c>
      <c r="L97" s="57">
        <f>IF(Inputs!C$75=0,Lookups!$AA$78,Inputs!C$75)</f>
        <v>0.25</v>
      </c>
      <c r="M97" s="135">
        <f t="shared" si="39"/>
        <v>0</v>
      </c>
      <c r="N97" s="58">
        <f>K97*Lookups!$AB$78</f>
        <v>0</v>
      </c>
      <c r="O97" s="58">
        <f>IF(LOOKUP($K$11,Lookups!$AT$59:$AT$65,Lookups!$AY$59:$AY$65)=0,"",LOOKUP($K$11,Lookups!$AT$59:$AT$65,Lookups!$AY$59:$AY$65)*-Inputs!$E$45)</f>
        <v>0</v>
      </c>
      <c r="P97" s="58">
        <f t="shared" si="40"/>
        <v>0</v>
      </c>
      <c r="Q97" s="41"/>
      <c r="R97" s="53">
        <f t="shared" si="41"/>
        <v>0</v>
      </c>
    </row>
    <row r="98" spans="2:19" ht="19.5" customHeight="1" x14ac:dyDescent="0.25">
      <c r="B98" s="51" t="s">
        <v>16</v>
      </c>
      <c r="C98" s="52"/>
      <c r="D98" s="53">
        <f>D97*(1+Inputs!$C$67)</f>
        <v>0</v>
      </c>
      <c r="E98" s="54">
        <f>IF(Inputs!C75=0,Lookups!$W$79,Inputs!C75)</f>
        <v>0.25</v>
      </c>
      <c r="F98" s="55">
        <f t="shared" si="37"/>
        <v>0</v>
      </c>
      <c r="G98" s="55">
        <f>D98*Lookups!X79</f>
        <v>0</v>
      </c>
      <c r="H98" s="55"/>
      <c r="I98" s="55">
        <f t="shared" ref="I98:I99" si="42">SUM(F98:G98)</f>
        <v>0</v>
      </c>
      <c r="J98" s="56"/>
      <c r="K98" s="53">
        <f>K97*(1+Inputs!$C$67)</f>
        <v>0</v>
      </c>
      <c r="L98" s="57">
        <f>IF(Inputs!C$75=0,Lookups!$AA$79,Inputs!C$75)</f>
        <v>0.25</v>
      </c>
      <c r="M98" s="53">
        <f t="shared" si="39"/>
        <v>0</v>
      </c>
      <c r="N98" s="58">
        <f>K98*Lookups!$AB$79</f>
        <v>0</v>
      </c>
      <c r="O98" s="58">
        <f>IF(LOOKUP($K$11,Lookups!$AT$59:$AT$65,Lookups!$AZ$59:$AZ$65)=0,"",LOOKUP($K$11,Lookups!$AT$59:$AT$65,Lookups!$AZ$59:$AZ$65)*-Inputs!$E$45)</f>
        <v>0</v>
      </c>
      <c r="P98" s="58">
        <f t="shared" ref="P98:P99" si="43">SUM(M98:O98)</f>
        <v>0</v>
      </c>
      <c r="Q98" s="41"/>
      <c r="R98" s="53">
        <f t="shared" ref="R98:R99" si="44">P98-I98</f>
        <v>0</v>
      </c>
    </row>
    <row r="99" spans="2:19" ht="19.5" customHeight="1" x14ac:dyDescent="0.25">
      <c r="B99" s="41" t="s">
        <v>17</v>
      </c>
      <c r="C99" s="40"/>
      <c r="D99" s="53">
        <f>D98*(1+Inputs!$C$67)</f>
        <v>0</v>
      </c>
      <c r="E99" s="123">
        <f>IF(Inputs!C75=0,Lookups!$W$80,Inputs!C75)</f>
        <v>0.25</v>
      </c>
      <c r="F99" s="59">
        <f t="shared" si="37"/>
        <v>0</v>
      </c>
      <c r="G99" s="59">
        <f>D99*Lookups!X80</f>
        <v>0</v>
      </c>
      <c r="H99" s="59"/>
      <c r="I99" s="55">
        <f t="shared" si="42"/>
        <v>0</v>
      </c>
      <c r="J99" s="56"/>
      <c r="K99" s="53">
        <f>K98*(1+Inputs!$C$67)</f>
        <v>0</v>
      </c>
      <c r="L99" s="57">
        <f>IF(Inputs!C$75=0,Lookups!$AA$80,Inputs!C$75)</f>
        <v>0.25</v>
      </c>
      <c r="M99" s="60">
        <f t="shared" si="39"/>
        <v>0</v>
      </c>
      <c r="N99" s="58">
        <f>K99*Lookups!$AB$80</f>
        <v>0</v>
      </c>
      <c r="O99" s="58">
        <f>IF(LOOKUP($K$11,Lookups!$AT$59:$AT$65,Lookups!$BA$59:$BA$65)=0,"",LOOKUP($K$11,Lookups!$AT$59:$AT$65,Lookups!$BA$59:$BA$65)*-Inputs!$E$45)</f>
        <v>0</v>
      </c>
      <c r="P99" s="58">
        <f t="shared" si="43"/>
        <v>0</v>
      </c>
      <c r="Q99" s="41"/>
      <c r="R99" s="53">
        <f t="shared" si="44"/>
        <v>0</v>
      </c>
    </row>
    <row r="100" spans="2:19" ht="19.5" customHeight="1" thickBot="1" x14ac:dyDescent="0.3">
      <c r="B100" s="61" t="s">
        <v>18</v>
      </c>
      <c r="C100" s="61"/>
      <c r="D100" s="62"/>
      <c r="E100" s="63"/>
      <c r="F100" s="64">
        <f>SUM(F93:F99)</f>
        <v>0</v>
      </c>
      <c r="G100" s="64">
        <f t="shared" ref="G100:I100" si="45">SUM(G93:G99)</f>
        <v>0</v>
      </c>
      <c r="H100" s="64"/>
      <c r="I100" s="64">
        <f t="shared" si="45"/>
        <v>0</v>
      </c>
      <c r="J100" s="56"/>
      <c r="K100" s="62"/>
      <c r="L100" s="65"/>
      <c r="M100" s="66">
        <f>SUM(M93:M99)</f>
        <v>0</v>
      </c>
      <c r="N100" s="66">
        <f t="shared" ref="N100:Q100" si="46">SUM(N93:N99)</f>
        <v>0</v>
      </c>
      <c r="O100" s="66">
        <f t="shared" si="46"/>
        <v>0</v>
      </c>
      <c r="P100" s="66">
        <f t="shared" si="46"/>
        <v>0</v>
      </c>
      <c r="Q100" s="66">
        <f t="shared" si="46"/>
        <v>0</v>
      </c>
      <c r="R100" s="107">
        <f>SUM(R87:R99)</f>
        <v>0</v>
      </c>
    </row>
    <row r="101" spans="2:19" ht="13.8" thickTop="1" x14ac:dyDescent="0.25"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</row>
    <row r="102" spans="2:19" ht="12.75" customHeight="1" x14ac:dyDescent="0.25">
      <c r="B102" s="41"/>
      <c r="C102" s="41"/>
      <c r="D102" s="41"/>
      <c r="E102" s="41"/>
      <c r="F102" s="41"/>
      <c r="G102" s="41"/>
      <c r="H102" s="41"/>
      <c r="I102" s="199"/>
      <c r="J102" s="200"/>
      <c r="K102" s="200"/>
      <c r="L102" s="200"/>
      <c r="M102" s="41"/>
      <c r="N102" s="41"/>
      <c r="O102" s="41"/>
      <c r="P102" s="41"/>
      <c r="Q102" s="41"/>
      <c r="R102" s="41"/>
    </row>
    <row r="103" spans="2:19" x14ac:dyDescent="0.25">
      <c r="B103" s="41"/>
      <c r="C103" s="41"/>
      <c r="D103" s="41"/>
      <c r="E103" s="41"/>
      <c r="F103" s="41"/>
      <c r="G103" s="41"/>
      <c r="H103" s="41"/>
      <c r="I103" s="199"/>
      <c r="J103" s="200"/>
      <c r="K103" s="200"/>
      <c r="L103" s="200"/>
      <c r="M103" s="41"/>
      <c r="N103" s="67" t="str">
        <f>IFERROR(R100/I100,"N/A")</f>
        <v>N/A</v>
      </c>
      <c r="O103" s="40"/>
      <c r="P103" s="41"/>
      <c r="Q103" s="41"/>
      <c r="R103" s="41"/>
    </row>
    <row r="104" spans="2:19" x14ac:dyDescent="0.25">
      <c r="B104" s="41"/>
      <c r="C104" s="41"/>
      <c r="D104" s="41"/>
      <c r="E104" s="41"/>
      <c r="F104" s="41"/>
      <c r="G104" s="41"/>
      <c r="H104" s="41"/>
      <c r="I104" s="199"/>
      <c r="J104" s="200"/>
      <c r="K104" s="200"/>
      <c r="L104" s="200"/>
      <c r="M104" s="41"/>
      <c r="N104" s="41"/>
      <c r="O104" s="41"/>
      <c r="P104" s="41"/>
      <c r="Q104" s="41"/>
      <c r="R104" s="41"/>
    </row>
    <row r="105" spans="2:19" x14ac:dyDescent="0.25">
      <c r="B105" s="41"/>
      <c r="C105" s="41"/>
      <c r="D105" s="41"/>
      <c r="E105" s="41"/>
      <c r="F105" s="41"/>
      <c r="G105" s="41"/>
      <c r="H105" s="41"/>
      <c r="I105" s="41"/>
      <c r="J105" s="40"/>
      <c r="K105" s="41"/>
      <c r="L105" s="41"/>
      <c r="M105" s="41"/>
      <c r="N105" s="41"/>
      <c r="O105" s="41"/>
      <c r="P105" s="41"/>
      <c r="Q105" s="41"/>
      <c r="R105" s="41"/>
    </row>
    <row r="106" spans="2:19" hidden="1" x14ac:dyDescent="0.25"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68">
        <f>M83-F83</f>
        <v>0</v>
      </c>
      <c r="N106" s="68">
        <f>N83-G83</f>
        <v>0</v>
      </c>
      <c r="O106" s="68">
        <f ca="1">P83-I83</f>
        <v>0</v>
      </c>
      <c r="P106" s="68">
        <f ca="1">P83-J83</f>
        <v>0</v>
      </c>
      <c r="R106" s="41"/>
    </row>
    <row r="107" spans="2:19" ht="15.6" x14ac:dyDescent="0.3">
      <c r="B107" s="164" t="s">
        <v>84</v>
      </c>
      <c r="C107" s="164"/>
      <c r="D107" s="165"/>
      <c r="E107" s="165"/>
      <c r="F107" s="165"/>
      <c r="G107" s="165"/>
      <c r="H107" s="165"/>
      <c r="I107" s="165"/>
      <c r="J107" s="165"/>
      <c r="K107" s="165"/>
      <c r="L107" s="166">
        <f>+Inputs!E49</f>
        <v>0</v>
      </c>
      <c r="M107" s="165"/>
      <c r="N107" s="165"/>
      <c r="O107" s="165"/>
      <c r="P107" s="165"/>
      <c r="Q107" s="165"/>
      <c r="R107" s="165"/>
      <c r="S107" s="45"/>
    </row>
    <row r="108" spans="2:19" x14ac:dyDescent="0.25"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</row>
    <row r="109" spans="2:19" ht="13.05" customHeight="1" x14ac:dyDescent="0.25">
      <c r="B109" s="41"/>
      <c r="C109" s="41"/>
      <c r="D109" s="203" t="s">
        <v>50</v>
      </c>
      <c r="E109" s="204"/>
      <c r="F109" s="204"/>
      <c r="G109" s="204"/>
      <c r="H109" s="204"/>
      <c r="I109" s="205"/>
      <c r="J109" s="49"/>
      <c r="K109" s="203" t="s">
        <v>50</v>
      </c>
      <c r="L109" s="204"/>
      <c r="M109" s="204"/>
      <c r="N109" s="204"/>
      <c r="O109" s="204"/>
      <c r="P109" s="205"/>
      <c r="Q109" s="41"/>
      <c r="R109" s="41"/>
    </row>
    <row r="110" spans="2:19" ht="26.4" x14ac:dyDescent="0.25">
      <c r="B110" s="41"/>
      <c r="C110" s="41"/>
      <c r="D110" s="167" t="s">
        <v>34</v>
      </c>
      <c r="E110" s="167" t="s">
        <v>77</v>
      </c>
      <c r="F110" s="167" t="s">
        <v>78</v>
      </c>
      <c r="G110" s="167" t="s">
        <v>52</v>
      </c>
      <c r="H110" s="167"/>
      <c r="I110" s="167" t="s">
        <v>5</v>
      </c>
      <c r="J110" s="50"/>
      <c r="K110" s="167" t="s">
        <v>34</v>
      </c>
      <c r="L110" s="167" t="s">
        <v>77</v>
      </c>
      <c r="M110" s="167" t="s">
        <v>78</v>
      </c>
      <c r="N110" s="167" t="s">
        <v>52</v>
      </c>
      <c r="O110" s="167" t="s">
        <v>79</v>
      </c>
      <c r="P110" s="167" t="s">
        <v>5</v>
      </c>
      <c r="Q110" s="41"/>
      <c r="R110" s="168" t="s">
        <v>9</v>
      </c>
    </row>
    <row r="111" spans="2:19" ht="19.5" customHeight="1" x14ac:dyDescent="0.25">
      <c r="B111" s="51" t="s">
        <v>0</v>
      </c>
      <c r="C111" s="52"/>
      <c r="D111" s="53">
        <f>Inputs!$C$51*(1+Inputs!$C$67)</f>
        <v>0</v>
      </c>
      <c r="E111" s="54">
        <f>IF(Inputs!C75=0,Lookups!$W$84,Inputs!C75)</f>
        <v>0.25</v>
      </c>
      <c r="F111" s="55">
        <f t="shared" ref="F111:F117" si="47">D111*E111</f>
        <v>0</v>
      </c>
      <c r="G111" s="55">
        <f>D111*Lookups!X84</f>
        <v>0</v>
      </c>
      <c r="H111" s="55"/>
      <c r="I111" s="55">
        <f t="shared" ref="I111:I115" si="48">SUM(F111:G111)</f>
        <v>0</v>
      </c>
      <c r="J111" s="56"/>
      <c r="K111" s="53">
        <f>(Inputs!$C$51+(Inputs!$C$11*Inputs!$E$51))*(1+Inputs!$C$67)</f>
        <v>0</v>
      </c>
      <c r="L111" s="57">
        <f>IF(Inputs!C$75=0,Lookups!$AA$84,Inputs!C$75)</f>
        <v>0.25</v>
      </c>
      <c r="M111" s="53">
        <f t="shared" ref="M111:M117" si="49">K111*L111</f>
        <v>0</v>
      </c>
      <c r="N111" s="58">
        <f>K111*Lookups!$AB$84</f>
        <v>0</v>
      </c>
      <c r="O111" s="58">
        <f>LOOKUP($K$11,Lookups!$AT$59:$AT$65,Lookups!$AU$59:$AU$65)*-Inputs!$E$51</f>
        <v>0</v>
      </c>
      <c r="P111" s="58">
        <f>SUM(M111:O111)</f>
        <v>0</v>
      </c>
      <c r="Q111" s="41"/>
      <c r="R111" s="53">
        <f>P111-I111</f>
        <v>0</v>
      </c>
    </row>
    <row r="112" spans="2:19" ht="19.5" customHeight="1" x14ac:dyDescent="0.25">
      <c r="B112" s="51" t="s">
        <v>1</v>
      </c>
      <c r="C112" s="52"/>
      <c r="D112" s="53">
        <f>D111*(1+Inputs!$C$67)</f>
        <v>0</v>
      </c>
      <c r="E112" s="54">
        <f>IF(Inputs!C75=0,Lookups!$W$85,Inputs!C75)</f>
        <v>0.25</v>
      </c>
      <c r="F112" s="55">
        <f t="shared" si="47"/>
        <v>0</v>
      </c>
      <c r="G112" s="55">
        <f>D112*Lookups!X85</f>
        <v>0</v>
      </c>
      <c r="H112" s="55"/>
      <c r="I112" s="55">
        <f t="shared" si="48"/>
        <v>0</v>
      </c>
      <c r="J112" s="56"/>
      <c r="K112" s="53">
        <f>K111*(1+Inputs!$C$67)</f>
        <v>0</v>
      </c>
      <c r="L112" s="57">
        <f>IF(Inputs!C$75=0,Lookups!$AA$85,Inputs!C$75)</f>
        <v>0.25</v>
      </c>
      <c r="M112" s="53">
        <f t="shared" si="49"/>
        <v>0</v>
      </c>
      <c r="N112" s="58">
        <f>K112*Lookups!$AB$85</f>
        <v>0</v>
      </c>
      <c r="O112" s="58">
        <f>IF(LOOKUP($K$11,Lookups!$AT$59:$AT$65,Lookups!$AV$59:$AV$65)=0,"",LOOKUP($K$11,Lookups!$AT$59:$AT$65,Lookups!$AV$59:$AV$65)*-Inputs!$E$51)</f>
        <v>0</v>
      </c>
      <c r="P112" s="58">
        <f t="shared" ref="P112:P117" si="50">SUM(M112:O112)</f>
        <v>0</v>
      </c>
      <c r="Q112" s="41"/>
      <c r="R112" s="53">
        <f t="shared" ref="R112:R117" si="51">P112-I112</f>
        <v>0</v>
      </c>
    </row>
    <row r="113" spans="2:19" ht="19.5" customHeight="1" x14ac:dyDescent="0.25">
      <c r="B113" s="51" t="s">
        <v>2</v>
      </c>
      <c r="C113" s="52"/>
      <c r="D113" s="53">
        <f>D112*(1+Inputs!$C$67)</f>
        <v>0</v>
      </c>
      <c r="E113" s="54">
        <f>IF(Inputs!C75=0,Lookups!$W$86,Inputs!C75)</f>
        <v>0.25</v>
      </c>
      <c r="F113" s="55">
        <f t="shared" si="47"/>
        <v>0</v>
      </c>
      <c r="G113" s="55">
        <f>D113*Lookups!X86</f>
        <v>0</v>
      </c>
      <c r="H113" s="55"/>
      <c r="I113" s="55">
        <f t="shared" si="48"/>
        <v>0</v>
      </c>
      <c r="J113" s="56"/>
      <c r="K113" s="53">
        <f>K112*(1+Inputs!$C$67)</f>
        <v>0</v>
      </c>
      <c r="L113" s="57">
        <f>IF(Inputs!C$75=0,Lookups!$AA$86,Inputs!C$75)</f>
        <v>0.25</v>
      </c>
      <c r="M113" s="53">
        <f t="shared" si="49"/>
        <v>0</v>
      </c>
      <c r="N113" s="58">
        <f>K113*Lookups!$AB$86</f>
        <v>0</v>
      </c>
      <c r="O113" s="58">
        <f>IF(LOOKUP($K$11,Lookups!$AT$59:$AT$65,Lookups!$AW$59:$AW$65)=0,"",LOOKUP($K$11,Lookups!$AT$59:$AT$65,Lookups!$AW$59:$AW$65)*-Inputs!$E$51)</f>
        <v>0</v>
      </c>
      <c r="P113" s="58">
        <f t="shared" si="50"/>
        <v>0</v>
      </c>
      <c r="Q113" s="41"/>
      <c r="R113" s="53">
        <f t="shared" si="51"/>
        <v>0</v>
      </c>
    </row>
    <row r="114" spans="2:19" ht="19.5" customHeight="1" x14ac:dyDescent="0.25">
      <c r="B114" s="51" t="s">
        <v>3</v>
      </c>
      <c r="C114" s="52"/>
      <c r="D114" s="53">
        <f>D113*(1+Inputs!$C$67)</f>
        <v>0</v>
      </c>
      <c r="E114" s="54">
        <f>IF(Inputs!C75=0,Lookups!$W$87,Inputs!C75)</f>
        <v>0.25</v>
      </c>
      <c r="F114" s="55">
        <f t="shared" si="47"/>
        <v>0</v>
      </c>
      <c r="G114" s="55">
        <f>D114*Lookups!X87</f>
        <v>0</v>
      </c>
      <c r="H114" s="55"/>
      <c r="I114" s="55">
        <f t="shared" si="48"/>
        <v>0</v>
      </c>
      <c r="J114" s="56"/>
      <c r="K114" s="53">
        <f>K113*(1+Inputs!$C$67)</f>
        <v>0</v>
      </c>
      <c r="L114" s="57">
        <f>IF(Inputs!C$75=0,Lookups!$AA$87,Inputs!C$75)</f>
        <v>0.25</v>
      </c>
      <c r="M114" s="53">
        <f t="shared" si="49"/>
        <v>0</v>
      </c>
      <c r="N114" s="58">
        <f>K114*Lookups!$AB$87</f>
        <v>0</v>
      </c>
      <c r="O114" s="58">
        <f>IF(LOOKUP($K$11,Lookups!$AT$59:$AT$65,Lookups!$AX$59:$AX$65)=0,"",LOOKUP($K$11,Lookups!$AT$59:$AT$65,Lookups!$AX$59:$AX$65)*-Inputs!$E$51)</f>
        <v>0</v>
      </c>
      <c r="P114" s="58">
        <f t="shared" si="50"/>
        <v>0</v>
      </c>
      <c r="Q114" s="41"/>
      <c r="R114" s="53">
        <f t="shared" si="51"/>
        <v>0</v>
      </c>
    </row>
    <row r="115" spans="2:19" ht="19.5" customHeight="1" x14ac:dyDescent="0.25">
      <c r="B115" s="138" t="s">
        <v>4</v>
      </c>
      <c r="C115" s="139"/>
      <c r="D115" s="135">
        <f>D114*(1+Inputs!$C$67)</f>
        <v>0</v>
      </c>
      <c r="E115" s="147">
        <f>IF(Inputs!C75=0,Lookups!$W$88,Inputs!C75)</f>
        <v>0.25</v>
      </c>
      <c r="F115" s="136">
        <f t="shared" si="47"/>
        <v>0</v>
      </c>
      <c r="G115" s="136">
        <f>D115*Lookups!X88</f>
        <v>0</v>
      </c>
      <c r="H115" s="136"/>
      <c r="I115" s="55">
        <f t="shared" si="48"/>
        <v>0</v>
      </c>
      <c r="J115" s="56"/>
      <c r="K115" s="53">
        <f>K114*(1+Inputs!$C$67)</f>
        <v>0</v>
      </c>
      <c r="L115" s="57">
        <f>IF(Inputs!C$75=0,Lookups!$AA$88,Inputs!C$75)</f>
        <v>0.25</v>
      </c>
      <c r="M115" s="135">
        <f t="shared" si="49"/>
        <v>0</v>
      </c>
      <c r="N115" s="58">
        <f>K115*Lookups!$AB$88</f>
        <v>0</v>
      </c>
      <c r="O115" s="58">
        <f>IF(LOOKUP($K$11,Lookups!$AT$59:$AT$65,Lookups!$AY$59:$AY$65)=0,"",LOOKUP($K$11,Lookups!$AT$59:$AT$65,Lookups!$AY$59:$AY$65)*-Inputs!$E$51)</f>
        <v>0</v>
      </c>
      <c r="P115" s="58">
        <f t="shared" si="50"/>
        <v>0</v>
      </c>
      <c r="Q115" s="41"/>
      <c r="R115" s="53">
        <f t="shared" si="51"/>
        <v>0</v>
      </c>
    </row>
    <row r="116" spans="2:19" ht="19.5" customHeight="1" x14ac:dyDescent="0.25">
      <c r="B116" s="51" t="s">
        <v>16</v>
      </c>
      <c r="C116" s="52"/>
      <c r="D116" s="53">
        <f>D115*(1+Inputs!$C$67)</f>
        <v>0</v>
      </c>
      <c r="E116" s="54">
        <f>IF(Inputs!C75=0,Lookups!$W$89,Inputs!C75)</f>
        <v>0.25</v>
      </c>
      <c r="F116" s="55">
        <f t="shared" si="47"/>
        <v>0</v>
      </c>
      <c r="G116" s="55">
        <f>D116*Lookups!X89</f>
        <v>0</v>
      </c>
      <c r="H116" s="55"/>
      <c r="I116" s="55">
        <f t="shared" ref="I116:I117" si="52">SUM(F116:G116)</f>
        <v>0</v>
      </c>
      <c r="J116" s="56"/>
      <c r="K116" s="53">
        <f>K115*(1+Inputs!$C$67)</f>
        <v>0</v>
      </c>
      <c r="L116" s="57">
        <f>IF(Inputs!C$75=0,Lookups!$AA$89,Inputs!C$75)</f>
        <v>0.25</v>
      </c>
      <c r="M116" s="53">
        <f t="shared" si="49"/>
        <v>0</v>
      </c>
      <c r="N116" s="58">
        <f>K116*Lookups!$AB$89</f>
        <v>0</v>
      </c>
      <c r="O116" s="58">
        <f>IF(LOOKUP($K$11,Lookups!$AT$59:$AT$65,Lookups!$AZ$59:$AZ$65)=0,"",LOOKUP($K$11,Lookups!$AT$59:$AT$65,Lookups!$AZ$59:$AZ$65)*-Inputs!$E$51)</f>
        <v>0</v>
      </c>
      <c r="P116" s="58">
        <f t="shared" si="50"/>
        <v>0</v>
      </c>
      <c r="Q116" s="41"/>
      <c r="R116" s="53">
        <f t="shared" si="51"/>
        <v>0</v>
      </c>
    </row>
    <row r="117" spans="2:19" ht="19.5" customHeight="1" x14ac:dyDescent="0.25">
      <c r="B117" s="41" t="s">
        <v>17</v>
      </c>
      <c r="C117" s="40"/>
      <c r="D117" s="53">
        <f>D116*(1+Inputs!$C$67)</f>
        <v>0</v>
      </c>
      <c r="E117" s="123">
        <f>IF(Inputs!C75=0,Lookups!$W$90,Inputs!C75)</f>
        <v>0.25</v>
      </c>
      <c r="F117" s="59">
        <f t="shared" si="47"/>
        <v>0</v>
      </c>
      <c r="G117" s="59">
        <f>D117*Lookups!X90</f>
        <v>0</v>
      </c>
      <c r="H117" s="59"/>
      <c r="I117" s="55">
        <f t="shared" si="52"/>
        <v>0</v>
      </c>
      <c r="J117" s="56"/>
      <c r="K117" s="53">
        <f>K116*(1+Inputs!$C$67)</f>
        <v>0</v>
      </c>
      <c r="L117" s="57">
        <f>IF(Inputs!C$75=0,Lookups!$AA$90,Inputs!C$75)</f>
        <v>0.25</v>
      </c>
      <c r="M117" s="60">
        <f t="shared" si="49"/>
        <v>0</v>
      </c>
      <c r="N117" s="58">
        <f>K117*Lookups!$AB$90</f>
        <v>0</v>
      </c>
      <c r="O117" s="58">
        <f>IF(LOOKUP($K$11,Lookups!$AT$59:$AT$65,Lookups!$BA$59:$BA$65)=0,"",LOOKUP($K$11,Lookups!$AT$59:$AT$65,Lookups!$BA$59:$BA$65)*-Inputs!$E$51)</f>
        <v>0</v>
      </c>
      <c r="P117" s="58">
        <f t="shared" si="50"/>
        <v>0</v>
      </c>
      <c r="Q117" s="41"/>
      <c r="R117" s="53">
        <f t="shared" si="51"/>
        <v>0</v>
      </c>
    </row>
    <row r="118" spans="2:19" ht="19.5" customHeight="1" thickBot="1" x14ac:dyDescent="0.3">
      <c r="B118" s="61" t="s">
        <v>18</v>
      </c>
      <c r="C118" s="61"/>
      <c r="D118" s="62"/>
      <c r="E118" s="63"/>
      <c r="F118" s="64">
        <f>SUM(F111:F117)</f>
        <v>0</v>
      </c>
      <c r="G118" s="64">
        <f t="shared" ref="G118" si="53">SUM(G111:G117)</f>
        <v>0</v>
      </c>
      <c r="H118" s="64"/>
      <c r="I118" s="64">
        <f t="shared" ref="I118" si="54">SUM(I111:I117)</f>
        <v>0</v>
      </c>
      <c r="J118" s="56"/>
      <c r="K118" s="62"/>
      <c r="L118" s="65"/>
      <c r="M118" s="66">
        <f>SUM(M111:M117)</f>
        <v>0</v>
      </c>
      <c r="N118" s="66">
        <f t="shared" ref="N118:Q118" si="55">SUM(N111:N117)</f>
        <v>0</v>
      </c>
      <c r="O118" s="66">
        <f t="shared" si="55"/>
        <v>0</v>
      </c>
      <c r="P118" s="66">
        <f t="shared" si="55"/>
        <v>0</v>
      </c>
      <c r="Q118" s="66">
        <f t="shared" si="55"/>
        <v>0</v>
      </c>
      <c r="R118" s="107">
        <f>SUM(R105:R117)</f>
        <v>0</v>
      </c>
    </row>
    <row r="119" spans="2:19" ht="13.8" thickTop="1" x14ac:dyDescent="0.25"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</row>
    <row r="120" spans="2:19" x14ac:dyDescent="0.25">
      <c r="B120" s="41"/>
      <c r="C120" s="41"/>
      <c r="D120" s="41"/>
      <c r="E120" s="41"/>
      <c r="F120" s="41"/>
      <c r="G120" s="41"/>
      <c r="H120" s="41"/>
      <c r="I120" s="199"/>
      <c r="J120" s="200"/>
      <c r="K120" s="200"/>
      <c r="L120" s="200"/>
      <c r="M120" s="41"/>
      <c r="N120" s="41"/>
      <c r="O120" s="41"/>
      <c r="P120" s="41"/>
      <c r="Q120" s="41"/>
      <c r="R120" s="41"/>
    </row>
    <row r="121" spans="2:19" x14ac:dyDescent="0.25">
      <c r="B121" s="41"/>
      <c r="C121" s="41"/>
      <c r="D121" s="41"/>
      <c r="E121" s="41"/>
      <c r="F121" s="41"/>
      <c r="G121" s="41"/>
      <c r="H121" s="41"/>
      <c r="I121" s="199"/>
      <c r="J121" s="200"/>
      <c r="K121" s="200"/>
      <c r="L121" s="200"/>
      <c r="M121" s="41"/>
      <c r="N121" s="67" t="str">
        <f>IFERROR(R118/I118,"N/A")</f>
        <v>N/A</v>
      </c>
      <c r="O121" s="40"/>
      <c r="P121" s="41"/>
      <c r="Q121" s="41"/>
      <c r="R121" s="41"/>
    </row>
    <row r="122" spans="2:19" x14ac:dyDescent="0.25">
      <c r="B122" s="41"/>
      <c r="C122" s="41"/>
      <c r="D122" s="41"/>
      <c r="E122" s="41"/>
      <c r="F122" s="41"/>
      <c r="G122" s="41"/>
      <c r="H122" s="41"/>
      <c r="I122" s="199"/>
      <c r="J122" s="200"/>
      <c r="K122" s="200"/>
      <c r="L122" s="200"/>
      <c r="M122" s="41"/>
      <c r="N122" s="41"/>
      <c r="O122" s="41"/>
      <c r="P122" s="41"/>
      <c r="Q122" s="41"/>
      <c r="R122" s="41"/>
    </row>
    <row r="123" spans="2:19" x14ac:dyDescent="0.25">
      <c r="B123" s="41"/>
      <c r="C123" s="41"/>
      <c r="D123" s="41"/>
      <c r="E123" s="41"/>
      <c r="F123" s="41"/>
      <c r="G123" s="41"/>
      <c r="H123" s="41"/>
      <c r="I123" s="41"/>
      <c r="J123" s="40"/>
      <c r="K123" s="41"/>
      <c r="L123" s="41"/>
      <c r="M123" s="41"/>
      <c r="N123" s="41"/>
      <c r="O123" s="41"/>
      <c r="P123" s="41"/>
      <c r="Q123" s="41"/>
      <c r="R123" s="41"/>
    </row>
    <row r="124" spans="2:19" hidden="1" x14ac:dyDescent="0.25"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68">
        <f>M101-F101</f>
        <v>0</v>
      </c>
      <c r="N124" s="68">
        <f>N101-G101</f>
        <v>0</v>
      </c>
      <c r="O124" s="68">
        <f>P101-I101</f>
        <v>0</v>
      </c>
      <c r="P124" s="68">
        <f>P101-J101</f>
        <v>0</v>
      </c>
      <c r="R124" s="41"/>
    </row>
    <row r="125" spans="2:19" ht="15.6" x14ac:dyDescent="0.3">
      <c r="B125" s="164" t="s">
        <v>85</v>
      </c>
      <c r="C125" s="164"/>
      <c r="D125" s="165"/>
      <c r="E125" s="165"/>
      <c r="F125" s="165"/>
      <c r="G125" s="165"/>
      <c r="H125" s="165"/>
      <c r="I125" s="165"/>
      <c r="J125" s="165"/>
      <c r="K125" s="165"/>
      <c r="L125" s="166">
        <f>+Inputs!E55</f>
        <v>0</v>
      </c>
      <c r="M125" s="165"/>
      <c r="N125" s="165"/>
      <c r="O125" s="165"/>
      <c r="P125" s="165"/>
      <c r="Q125" s="165"/>
      <c r="R125" s="165"/>
      <c r="S125" s="45"/>
    </row>
    <row r="126" spans="2:19" x14ac:dyDescent="0.25"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</row>
    <row r="127" spans="2:19" ht="13.05" customHeight="1" x14ac:dyDescent="0.25">
      <c r="B127" s="41"/>
      <c r="C127" s="41"/>
      <c r="D127" s="203" t="s">
        <v>50</v>
      </c>
      <c r="E127" s="204"/>
      <c r="F127" s="204"/>
      <c r="G127" s="204"/>
      <c r="H127" s="204"/>
      <c r="I127" s="205"/>
      <c r="J127" s="49"/>
      <c r="K127" s="203" t="s">
        <v>50</v>
      </c>
      <c r="L127" s="204"/>
      <c r="M127" s="204"/>
      <c r="N127" s="204"/>
      <c r="O127" s="204"/>
      <c r="P127" s="205"/>
      <c r="Q127" s="41"/>
      <c r="R127" s="41"/>
    </row>
    <row r="128" spans="2:19" ht="26.4" x14ac:dyDescent="0.25">
      <c r="B128" s="41"/>
      <c r="C128" s="41"/>
      <c r="D128" s="167" t="s">
        <v>34</v>
      </c>
      <c r="E128" s="167" t="s">
        <v>77</v>
      </c>
      <c r="F128" s="167" t="s">
        <v>78</v>
      </c>
      <c r="G128" s="167" t="s">
        <v>52</v>
      </c>
      <c r="H128" s="167"/>
      <c r="I128" s="167" t="s">
        <v>5</v>
      </c>
      <c r="J128" s="50"/>
      <c r="K128" s="167" t="s">
        <v>34</v>
      </c>
      <c r="L128" s="167" t="s">
        <v>77</v>
      </c>
      <c r="M128" s="167" t="s">
        <v>78</v>
      </c>
      <c r="N128" s="167" t="s">
        <v>52</v>
      </c>
      <c r="O128" s="167" t="s">
        <v>79</v>
      </c>
      <c r="P128" s="167" t="s">
        <v>5</v>
      </c>
      <c r="Q128" s="41"/>
      <c r="R128" s="168" t="s">
        <v>9</v>
      </c>
    </row>
    <row r="129" spans="2:18" ht="19.5" customHeight="1" x14ac:dyDescent="0.25">
      <c r="B129" s="51" t="s">
        <v>0</v>
      </c>
      <c r="C129" s="52"/>
      <c r="D129" s="53">
        <f>Inputs!$C$57*(1+Inputs!$C$67)</f>
        <v>0</v>
      </c>
      <c r="E129" s="54">
        <f>IF(Inputs!C75=0,Lookups!$W$94,Inputs!C75)</f>
        <v>0.25</v>
      </c>
      <c r="F129" s="55">
        <f t="shared" ref="F129:F135" si="56">D129*E129</f>
        <v>0</v>
      </c>
      <c r="G129" s="55">
        <f>D129*Lookups!X94</f>
        <v>0</v>
      </c>
      <c r="H129" s="55"/>
      <c r="I129" s="55">
        <f t="shared" ref="I129:I133" si="57">SUM(F129:G129)</f>
        <v>0</v>
      </c>
      <c r="J129" s="56"/>
      <c r="K129" s="53">
        <f>(Inputs!$C$57+(Inputs!$C$11*Inputs!$E$57))*(1+Inputs!$C$67)</f>
        <v>0</v>
      </c>
      <c r="L129" s="57">
        <f>IF(Inputs!C$75=0,Lookups!$AA$94,Inputs!C$75)</f>
        <v>0.25</v>
      </c>
      <c r="M129" s="53">
        <f t="shared" ref="M129:M135" si="58">K129*L129</f>
        <v>0</v>
      </c>
      <c r="N129" s="58">
        <f>K129*Lookups!$AB$94</f>
        <v>0</v>
      </c>
      <c r="O129" s="58">
        <f>LOOKUP($K$11,Lookups!$AT$59:$AT$65,Lookups!$AU$59:$AU$65)*-Inputs!$E$57</f>
        <v>0</v>
      </c>
      <c r="P129" s="58">
        <f>SUM(M129:O129)</f>
        <v>0</v>
      </c>
      <c r="Q129" s="41"/>
      <c r="R129" s="53">
        <f>P129-I129</f>
        <v>0</v>
      </c>
    </row>
    <row r="130" spans="2:18" ht="19.5" customHeight="1" x14ac:dyDescent="0.25">
      <c r="B130" s="51" t="s">
        <v>1</v>
      </c>
      <c r="C130" s="52"/>
      <c r="D130" s="53">
        <f>D129*(1+Inputs!$C$67)</f>
        <v>0</v>
      </c>
      <c r="E130" s="54">
        <f>IF(Inputs!C75=0,Lookups!$W$95,Inputs!C75)</f>
        <v>0.25</v>
      </c>
      <c r="F130" s="55">
        <f t="shared" si="56"/>
        <v>0</v>
      </c>
      <c r="G130" s="55">
        <f>D130*Lookups!X95</f>
        <v>0</v>
      </c>
      <c r="H130" s="55"/>
      <c r="I130" s="55">
        <f t="shared" si="57"/>
        <v>0</v>
      </c>
      <c r="J130" s="56"/>
      <c r="K130" s="53">
        <f>K129*(1+Inputs!$C$67)</f>
        <v>0</v>
      </c>
      <c r="L130" s="57">
        <f>IF(Inputs!C$75=0,Lookups!$AA$95,Inputs!C$75)</f>
        <v>0.25</v>
      </c>
      <c r="M130" s="53">
        <f t="shared" si="58"/>
        <v>0</v>
      </c>
      <c r="N130" s="58">
        <f>K130*Lookups!$AB$95</f>
        <v>0</v>
      </c>
      <c r="O130" s="58">
        <f>IF(LOOKUP($K$11,Lookups!$AT$59:$AT$65,Lookups!$AV$59:$AV$65)=0,"",LOOKUP($K$11,Lookups!$AT$59:$AT$65,Lookups!$AV$59:$AV$65)*-Inputs!$E$57)</f>
        <v>0</v>
      </c>
      <c r="P130" s="58">
        <f t="shared" ref="P130:P135" si="59">SUM(M130:O130)</f>
        <v>0</v>
      </c>
      <c r="Q130" s="41"/>
      <c r="R130" s="53">
        <f t="shared" ref="R130:R135" si="60">P130-I130</f>
        <v>0</v>
      </c>
    </row>
    <row r="131" spans="2:18" ht="19.5" customHeight="1" x14ac:dyDescent="0.25">
      <c r="B131" s="51" t="s">
        <v>2</v>
      </c>
      <c r="C131" s="52"/>
      <c r="D131" s="53">
        <f>D130*(1+Inputs!$C$67)</f>
        <v>0</v>
      </c>
      <c r="E131" s="54">
        <f>IF(Inputs!C75=0,Lookups!$W$96,Inputs!C75)</f>
        <v>0.25</v>
      </c>
      <c r="F131" s="55">
        <f t="shared" si="56"/>
        <v>0</v>
      </c>
      <c r="G131" s="55">
        <f>D131*Lookups!X96</f>
        <v>0</v>
      </c>
      <c r="H131" s="55"/>
      <c r="I131" s="55">
        <f t="shared" si="57"/>
        <v>0</v>
      </c>
      <c r="J131" s="56"/>
      <c r="K131" s="53">
        <f>K130*(1+Inputs!$C$67)</f>
        <v>0</v>
      </c>
      <c r="L131" s="57">
        <f>IF(Inputs!C$75=0,Lookups!$AA$96,Inputs!C$75)</f>
        <v>0.25</v>
      </c>
      <c r="M131" s="53">
        <f t="shared" si="58"/>
        <v>0</v>
      </c>
      <c r="N131" s="58">
        <f>K131*Lookups!$AB$96</f>
        <v>0</v>
      </c>
      <c r="O131" s="58">
        <f>IF(LOOKUP($K$11,Lookups!$AT$59:$AT$65,Lookups!$AW$59:$AW$65)=0,"",LOOKUP($K$11,Lookups!$AT$59:$AT$65,Lookups!$AW$59:$AW$65)*-Inputs!$E$57)</f>
        <v>0</v>
      </c>
      <c r="P131" s="58">
        <f t="shared" si="59"/>
        <v>0</v>
      </c>
      <c r="Q131" s="41"/>
      <c r="R131" s="53">
        <f t="shared" si="60"/>
        <v>0</v>
      </c>
    </row>
    <row r="132" spans="2:18" ht="19.5" customHeight="1" x14ac:dyDescent="0.25">
      <c r="B132" s="51" t="s">
        <v>3</v>
      </c>
      <c r="C132" s="52"/>
      <c r="D132" s="53">
        <f>D131*(1+Inputs!$C$67)</f>
        <v>0</v>
      </c>
      <c r="E132" s="54">
        <f>IF(Inputs!C75=0,Lookups!$W$97,Inputs!C75)</f>
        <v>0.25</v>
      </c>
      <c r="F132" s="55">
        <f t="shared" si="56"/>
        <v>0</v>
      </c>
      <c r="G132" s="55">
        <f>D132*Lookups!X97</f>
        <v>0</v>
      </c>
      <c r="H132" s="55"/>
      <c r="I132" s="55">
        <f t="shared" si="57"/>
        <v>0</v>
      </c>
      <c r="J132" s="56"/>
      <c r="K132" s="53">
        <f>K131*(1+Inputs!$C$67)</f>
        <v>0</v>
      </c>
      <c r="L132" s="57">
        <f>IF(Inputs!C$75=0,Lookups!$AA$97,Inputs!C$75)</f>
        <v>0.25</v>
      </c>
      <c r="M132" s="53">
        <f t="shared" si="58"/>
        <v>0</v>
      </c>
      <c r="N132" s="58">
        <f>K132*Lookups!$AB$97</f>
        <v>0</v>
      </c>
      <c r="O132" s="58">
        <f>IF(LOOKUP($K$11,Lookups!$AT$59:$AT$65,Lookups!$AX$59:$AX$65)=0,"",LOOKUP($K$11,Lookups!$AT$59:$AT$65,Lookups!$AX$59:$AX$65)*-Inputs!$E$57)</f>
        <v>0</v>
      </c>
      <c r="P132" s="58">
        <f t="shared" si="59"/>
        <v>0</v>
      </c>
      <c r="Q132" s="41"/>
      <c r="R132" s="53">
        <f t="shared" si="60"/>
        <v>0</v>
      </c>
    </row>
    <row r="133" spans="2:18" ht="19.5" customHeight="1" x14ac:dyDescent="0.25">
      <c r="B133" s="138" t="s">
        <v>4</v>
      </c>
      <c r="C133" s="139"/>
      <c r="D133" s="135">
        <f>D132*(1+Inputs!$C$67)</f>
        <v>0</v>
      </c>
      <c r="E133" s="147">
        <f>IF(Inputs!C75=0,Lookups!$W$98,Inputs!C75)</f>
        <v>0.25</v>
      </c>
      <c r="F133" s="136">
        <f t="shared" si="56"/>
        <v>0</v>
      </c>
      <c r="G133" s="136">
        <f>D133*Lookups!X98</f>
        <v>0</v>
      </c>
      <c r="H133" s="136"/>
      <c r="I133" s="55">
        <f t="shared" si="57"/>
        <v>0</v>
      </c>
      <c r="J133" s="56"/>
      <c r="K133" s="53">
        <f>K132*(1+Inputs!$C$67)</f>
        <v>0</v>
      </c>
      <c r="L133" s="57">
        <f>IF(Inputs!C$75=0,Lookups!$AA$98,Inputs!C$75)</f>
        <v>0.25</v>
      </c>
      <c r="M133" s="135">
        <f t="shared" si="58"/>
        <v>0</v>
      </c>
      <c r="N133" s="58">
        <f>K133*Lookups!$AB$98</f>
        <v>0</v>
      </c>
      <c r="O133" s="58">
        <f>IF(LOOKUP($K$11,Lookups!$AT$59:$AT$65,Lookups!$AY$59:$AY$65)=0,"",LOOKUP($K$11,Lookups!$AT$59:$AT$65,Lookups!$AY$59:$AY$65)*-Inputs!$E$57)</f>
        <v>0</v>
      </c>
      <c r="P133" s="58">
        <f t="shared" si="59"/>
        <v>0</v>
      </c>
      <c r="Q133" s="41"/>
      <c r="R133" s="53">
        <f t="shared" si="60"/>
        <v>0</v>
      </c>
    </row>
    <row r="134" spans="2:18" ht="19.5" customHeight="1" x14ac:dyDescent="0.25">
      <c r="B134" s="51" t="s">
        <v>16</v>
      </c>
      <c r="C134" s="52"/>
      <c r="D134" s="53">
        <f>D133*(1+Inputs!$C$67)</f>
        <v>0</v>
      </c>
      <c r="E134" s="54">
        <f>IF(Inputs!C75=0,Lookups!$W$99,Inputs!C75)</f>
        <v>0.25</v>
      </c>
      <c r="F134" s="55">
        <f t="shared" si="56"/>
        <v>0</v>
      </c>
      <c r="G134" s="55">
        <f>D134*Lookups!X99</f>
        <v>0</v>
      </c>
      <c r="H134" s="55"/>
      <c r="I134" s="55">
        <f t="shared" ref="I134:I135" si="61">SUM(F134:G134)</f>
        <v>0</v>
      </c>
      <c r="J134" s="56"/>
      <c r="K134" s="53">
        <f>K133*(1+Inputs!$C$67)</f>
        <v>0</v>
      </c>
      <c r="L134" s="57">
        <f>IF(Inputs!C$75=0,Lookups!$AA$99,Inputs!C$75)</f>
        <v>0.25</v>
      </c>
      <c r="M134" s="53">
        <f t="shared" si="58"/>
        <v>0</v>
      </c>
      <c r="N134" s="58">
        <f>K134*Lookups!$AB$99</f>
        <v>0</v>
      </c>
      <c r="O134" s="58">
        <f>IF(LOOKUP($K$11,Lookups!$AT$59:$AT$65,Lookups!$AZ$59:$AZ$65)=0,"",LOOKUP($K$11,Lookups!$AT$59:$AT$65,Lookups!$AZ$59:$AZ$65)*-Inputs!$E$57)</f>
        <v>0</v>
      </c>
      <c r="P134" s="58">
        <f t="shared" si="59"/>
        <v>0</v>
      </c>
      <c r="Q134" s="41"/>
      <c r="R134" s="53">
        <f t="shared" si="60"/>
        <v>0</v>
      </c>
    </row>
    <row r="135" spans="2:18" ht="19.5" customHeight="1" x14ac:dyDescent="0.25">
      <c r="B135" s="41" t="s">
        <v>17</v>
      </c>
      <c r="C135" s="40"/>
      <c r="D135" s="53">
        <f>D134*(1+Inputs!$C$67)</f>
        <v>0</v>
      </c>
      <c r="E135" s="123">
        <f>IF(Inputs!C75=0,Lookups!$W$100,Inputs!C75)</f>
        <v>0.25</v>
      </c>
      <c r="F135" s="59">
        <f t="shared" si="56"/>
        <v>0</v>
      </c>
      <c r="G135" s="59">
        <f>D135*Lookups!X100</f>
        <v>0</v>
      </c>
      <c r="H135" s="59"/>
      <c r="I135" s="55">
        <f t="shared" si="61"/>
        <v>0</v>
      </c>
      <c r="J135" s="56"/>
      <c r="K135" s="53">
        <f>K134*(1+Inputs!$C$67)</f>
        <v>0</v>
      </c>
      <c r="L135" s="57">
        <f>IF(Inputs!C$75=0,Lookups!$AA$100,Inputs!C$75)</f>
        <v>0.25</v>
      </c>
      <c r="M135" s="60">
        <f t="shared" si="58"/>
        <v>0</v>
      </c>
      <c r="N135" s="58">
        <f>K135*Lookups!$AB$100</f>
        <v>0</v>
      </c>
      <c r="O135" s="58">
        <f>IF(LOOKUP($K$11,Lookups!$AT$59:$AT$65,Lookups!$BA$59:$BA$65)=0,"",LOOKUP($K$11,Lookups!$AT$59:$AT$65,Lookups!$BA$59:$BA$65)*-Inputs!$E$57)</f>
        <v>0</v>
      </c>
      <c r="P135" s="58">
        <f t="shared" si="59"/>
        <v>0</v>
      </c>
      <c r="Q135" s="41"/>
      <c r="R135" s="53">
        <f t="shared" si="60"/>
        <v>0</v>
      </c>
    </row>
    <row r="136" spans="2:18" ht="19.5" customHeight="1" thickBot="1" x14ac:dyDescent="0.3">
      <c r="B136" s="61" t="s">
        <v>18</v>
      </c>
      <c r="C136" s="61"/>
      <c r="D136" s="62"/>
      <c r="E136" s="63"/>
      <c r="F136" s="64">
        <f>SUM(F129:F135)</f>
        <v>0</v>
      </c>
      <c r="G136" s="64">
        <f t="shared" ref="G136" si="62">SUM(G129:G135)</f>
        <v>0</v>
      </c>
      <c r="H136" s="64"/>
      <c r="I136" s="64">
        <f t="shared" ref="I136" si="63">SUM(I129:I135)</f>
        <v>0</v>
      </c>
      <c r="J136" s="56"/>
      <c r="K136" s="62"/>
      <c r="L136" s="65"/>
      <c r="M136" s="66">
        <f>SUM(M129:M135)</f>
        <v>0</v>
      </c>
      <c r="N136" s="66">
        <f t="shared" ref="N136:Q136" si="64">SUM(N129:N135)</f>
        <v>0</v>
      </c>
      <c r="O136" s="66">
        <f t="shared" si="64"/>
        <v>0</v>
      </c>
      <c r="P136" s="66">
        <f t="shared" si="64"/>
        <v>0</v>
      </c>
      <c r="Q136" s="66">
        <f t="shared" si="64"/>
        <v>0</v>
      </c>
      <c r="R136" s="107">
        <f>SUM(R123:R135)</f>
        <v>0</v>
      </c>
    </row>
    <row r="137" spans="2:18" ht="13.8" thickTop="1" x14ac:dyDescent="0.25"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</row>
    <row r="138" spans="2:18" x14ac:dyDescent="0.25">
      <c r="B138" s="41"/>
      <c r="C138" s="41"/>
      <c r="D138" s="41"/>
      <c r="E138" s="41"/>
      <c r="F138" s="41"/>
      <c r="G138" s="41"/>
      <c r="H138" s="41"/>
      <c r="I138" s="199"/>
      <c r="J138" s="200"/>
      <c r="K138" s="200"/>
      <c r="L138" s="200"/>
      <c r="M138" s="41"/>
      <c r="N138" s="41"/>
      <c r="O138" s="41"/>
      <c r="P138" s="41"/>
      <c r="Q138" s="41"/>
      <c r="R138" s="41"/>
    </row>
    <row r="139" spans="2:18" x14ac:dyDescent="0.25">
      <c r="B139" s="41"/>
      <c r="C139" s="41"/>
      <c r="D139" s="41"/>
      <c r="E139" s="41"/>
      <c r="F139" s="41"/>
      <c r="G139" s="41"/>
      <c r="H139" s="41"/>
      <c r="I139" s="199"/>
      <c r="J139" s="200"/>
      <c r="K139" s="200"/>
      <c r="L139" s="200"/>
      <c r="M139" s="41"/>
      <c r="N139" s="67" t="str">
        <f>IFERROR(R136/I136,"N/A")</f>
        <v>N/A</v>
      </c>
      <c r="O139" s="40"/>
      <c r="P139" s="41"/>
      <c r="Q139" s="41"/>
      <c r="R139" s="41"/>
    </row>
    <row r="140" spans="2:18" x14ac:dyDescent="0.25">
      <c r="B140" s="41"/>
      <c r="C140" s="41"/>
      <c r="D140" s="41"/>
      <c r="E140" s="41"/>
      <c r="F140" s="41"/>
      <c r="G140" s="41"/>
      <c r="H140" s="41"/>
      <c r="I140" s="199"/>
      <c r="J140" s="200"/>
      <c r="K140" s="200"/>
      <c r="L140" s="200"/>
      <c r="M140" s="41"/>
      <c r="N140" s="41"/>
      <c r="O140" s="41"/>
      <c r="P140" s="41"/>
      <c r="Q140" s="41"/>
      <c r="R140" s="41"/>
    </row>
    <row r="141" spans="2:18" x14ac:dyDescent="0.25">
      <c r="B141" s="41"/>
      <c r="C141" s="41"/>
      <c r="D141" s="41"/>
      <c r="E141" s="41"/>
      <c r="F141" s="41"/>
      <c r="G141" s="41"/>
      <c r="H141" s="41"/>
      <c r="I141" s="41"/>
      <c r="J141" s="40"/>
      <c r="K141" s="41"/>
      <c r="L141" s="41"/>
      <c r="M141" s="41"/>
      <c r="N141" s="41"/>
      <c r="O141" s="41"/>
      <c r="P141" s="41"/>
      <c r="Q141" s="41"/>
      <c r="R141" s="41"/>
    </row>
    <row r="142" spans="2:18" hidden="1" x14ac:dyDescent="0.25"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68">
        <f>M119-F119</f>
        <v>0</v>
      </c>
      <c r="N142" s="68">
        <f>N119-G119</f>
        <v>0</v>
      </c>
      <c r="O142" s="68">
        <f>P119-I119</f>
        <v>0</v>
      </c>
      <c r="P142" s="68">
        <f>P119-J119</f>
        <v>0</v>
      </c>
      <c r="R142" s="41"/>
    </row>
    <row r="143" spans="2:18" hidden="1" x14ac:dyDescent="0.25"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68"/>
      <c r="N143" s="68"/>
      <c r="O143" s="68"/>
      <c r="P143" s="68"/>
      <c r="R143" s="41"/>
    </row>
    <row r="144" spans="2:18" hidden="1" x14ac:dyDescent="0.25"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68"/>
      <c r="N144" s="68"/>
      <c r="O144" s="68"/>
      <c r="P144" s="68"/>
      <c r="R144" s="41"/>
    </row>
    <row r="145" spans="2:18" hidden="1" x14ac:dyDescent="0.25"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68"/>
      <c r="N145" s="68"/>
      <c r="O145" s="68"/>
      <c r="P145" s="68"/>
      <c r="R145" s="41"/>
    </row>
    <row r="146" spans="2:18" hidden="1" x14ac:dyDescent="0.25"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68"/>
      <c r="N146" s="68"/>
      <c r="O146" s="68"/>
      <c r="P146" s="68"/>
      <c r="R146" s="41"/>
    </row>
    <row r="147" spans="2:18" hidden="1" x14ac:dyDescent="0.25"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68"/>
      <c r="N147" s="68"/>
      <c r="O147" s="68"/>
      <c r="P147" s="68"/>
      <c r="R147" s="41"/>
    </row>
    <row r="148" spans="2:18" hidden="1" x14ac:dyDescent="0.25"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68"/>
      <c r="N148" s="68"/>
      <c r="O148" s="68"/>
      <c r="P148" s="68"/>
      <c r="R148" s="41"/>
    </row>
    <row r="149" spans="2:18" hidden="1" x14ac:dyDescent="0.25"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68"/>
      <c r="N149" s="68"/>
      <c r="O149" s="68"/>
      <c r="P149" s="68"/>
      <c r="R149" s="41"/>
    </row>
    <row r="150" spans="2:18" hidden="1" x14ac:dyDescent="0.25"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68"/>
      <c r="N150" s="68"/>
      <c r="O150" s="68"/>
      <c r="P150" s="68"/>
      <c r="R150" s="41"/>
    </row>
    <row r="151" spans="2:18" hidden="1" x14ac:dyDescent="0.25"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68"/>
      <c r="N151" s="68"/>
      <c r="O151" s="68"/>
      <c r="P151" s="68"/>
      <c r="R151" s="41"/>
    </row>
    <row r="152" spans="2:18" hidden="1" x14ac:dyDescent="0.25"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68"/>
      <c r="N152" s="68"/>
      <c r="O152" s="68"/>
      <c r="P152" s="68"/>
      <c r="R152" s="41"/>
    </row>
    <row r="153" spans="2:18" hidden="1" x14ac:dyDescent="0.25"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68"/>
      <c r="N153" s="68"/>
      <c r="O153" s="68"/>
      <c r="P153" s="68"/>
      <c r="R153" s="41"/>
    </row>
    <row r="154" spans="2:18" hidden="1" x14ac:dyDescent="0.25"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68"/>
      <c r="N154" s="68"/>
      <c r="O154" s="68"/>
      <c r="P154" s="68"/>
      <c r="R154" s="41"/>
    </row>
    <row r="155" spans="2:18" ht="17.399999999999999" x14ac:dyDescent="0.3"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7"/>
      <c r="M155" s="47"/>
      <c r="N155" s="47"/>
      <c r="O155" s="47"/>
      <c r="P155" s="47"/>
      <c r="Q155" s="41"/>
      <c r="R155" s="41"/>
    </row>
    <row r="156" spans="2:18" ht="52.5" customHeight="1" x14ac:dyDescent="0.25">
      <c r="B156" s="201"/>
      <c r="C156" s="201"/>
      <c r="D156" s="201"/>
      <c r="E156" s="201"/>
      <c r="F156" s="201"/>
      <c r="G156" s="201"/>
      <c r="H156" s="201"/>
      <c r="I156" s="201"/>
      <c r="J156" s="201"/>
      <c r="K156" s="201"/>
      <c r="L156" s="201"/>
      <c r="M156" s="201"/>
      <c r="N156" s="201"/>
      <c r="O156" s="201"/>
      <c r="P156" s="201"/>
      <c r="Q156" s="201"/>
      <c r="R156" s="201"/>
    </row>
    <row r="158" spans="2:18" x14ac:dyDescent="0.25">
      <c r="K158" s="69"/>
    </row>
    <row r="159" spans="2:18" hidden="1" x14ac:dyDescent="0.25"/>
    <row r="160" spans="2:18" hidden="1" x14ac:dyDescent="0.25"/>
    <row r="161" spans="20:20" hidden="1" x14ac:dyDescent="0.25"/>
    <row r="162" spans="20:20" hidden="1" x14ac:dyDescent="0.25"/>
    <row r="163" spans="20:20" hidden="1" x14ac:dyDescent="0.25"/>
    <row r="164" spans="20:20" hidden="1" x14ac:dyDescent="0.25"/>
    <row r="165" spans="20:20" hidden="1" x14ac:dyDescent="0.25"/>
    <row r="166" spans="20:20" hidden="1" x14ac:dyDescent="0.25"/>
    <row r="167" spans="20:20" hidden="1" x14ac:dyDescent="0.25"/>
    <row r="168" spans="20:20" hidden="1" x14ac:dyDescent="0.25"/>
    <row r="169" spans="20:20" ht="12.75" hidden="1" customHeight="1" x14ac:dyDescent="0.25"/>
    <row r="170" spans="20:20" ht="12.75" hidden="1" customHeight="1" x14ac:dyDescent="0.25"/>
    <row r="171" spans="20:20" ht="12.75" hidden="1" customHeight="1" x14ac:dyDescent="0.25"/>
    <row r="172" spans="20:20" hidden="1" x14ac:dyDescent="0.25">
      <c r="T172" s="70">
        <f>R25/1000000</f>
        <v>6.7251617431640627</v>
      </c>
    </row>
    <row r="173" spans="20:20" hidden="1" x14ac:dyDescent="0.25"/>
    <row r="174" spans="20:20" hidden="1" x14ac:dyDescent="0.25"/>
    <row r="175" spans="20:20" hidden="1" x14ac:dyDescent="0.25"/>
    <row r="176" spans="20:20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</sheetData>
  <dataConsolidate/>
  <mergeCells count="30">
    <mergeCell ref="I138:I140"/>
    <mergeCell ref="J138:L140"/>
    <mergeCell ref="D109:I109"/>
    <mergeCell ref="K109:P109"/>
    <mergeCell ref="I120:I122"/>
    <mergeCell ref="J120:L122"/>
    <mergeCell ref="D127:I127"/>
    <mergeCell ref="K127:P127"/>
    <mergeCell ref="I85:I87"/>
    <mergeCell ref="J85:L87"/>
    <mergeCell ref="D91:I91"/>
    <mergeCell ref="K91:P91"/>
    <mergeCell ref="I102:I104"/>
    <mergeCell ref="J102:L104"/>
    <mergeCell ref="I67:I69"/>
    <mergeCell ref="J67:L69"/>
    <mergeCell ref="B156:R156"/>
    <mergeCell ref="B4:I4"/>
    <mergeCell ref="K16:P16"/>
    <mergeCell ref="D16:I16"/>
    <mergeCell ref="I27:I29"/>
    <mergeCell ref="J27:L29"/>
    <mergeCell ref="D36:I36"/>
    <mergeCell ref="K36:P36"/>
    <mergeCell ref="I47:I49"/>
    <mergeCell ref="J47:L49"/>
    <mergeCell ref="D56:I56"/>
    <mergeCell ref="K56:P56"/>
    <mergeCell ref="D74:I74"/>
    <mergeCell ref="K74:P74"/>
  </mergeCells>
  <pageMargins left="0.17" right="0.16" top="0.75" bottom="0.75" header="0.3" footer="0.3"/>
  <pageSetup scale="2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1"/>
  </sheetPr>
  <dimension ref="B1:BA212"/>
  <sheetViews>
    <sheetView tabSelected="1" zoomScale="84" zoomScaleNormal="84" workbookViewId="0">
      <selection activeCell="V34" sqref="V34"/>
    </sheetView>
  </sheetViews>
  <sheetFormatPr defaultColWidth="8.77734375" defaultRowHeight="13.2" x14ac:dyDescent="0.25"/>
  <cols>
    <col min="1" max="1" customWidth="true" width="2.6640625"/>
    <col min="2" max="2" customWidth="true" width="12.44140625"/>
    <col min="3" max="3" bestFit="true" customWidth="true" width="6.44140625"/>
    <col min="4" max="4" customWidth="true" width="7.44140625"/>
    <col min="5" max="8" bestFit="true" customWidth="true" width="6.44140625"/>
    <col min="9" max="9" customWidth="true" width="7.44140625"/>
    <col min="10" max="10" customWidth="true" width="7.6640625"/>
    <col min="11" max="11" customWidth="true" width="8.6640625"/>
    <col min="12" max="12" bestFit="true" customWidth="true" width="8.6640625"/>
    <col min="13" max="13" customWidth="true" width="8.44140625"/>
    <col min="14" max="14" customWidth="true" width="8.6640625"/>
    <col min="15" max="15" customWidth="true" width="8.33203125"/>
    <col min="16" max="16" bestFit="true" customWidth="true" width="6.44140625"/>
    <col min="17" max="17" customWidth="true" width="2.33203125"/>
    <col min="18" max="18" bestFit="true" customWidth="true" width="6.44140625"/>
    <col min="19" max="19" customWidth="true" width="7.44140625"/>
    <col min="20" max="20" customWidth="true" width="2.44140625"/>
    <col min="22" max="22" customWidth="true" width="15.44140625"/>
    <col min="23" max="23" bestFit="true" customWidth="true" width="7.6640625"/>
    <col min="24" max="24" bestFit="true" customWidth="true" width="8.6640625"/>
    <col min="26" max="26" customWidth="true" width="20.44140625"/>
    <col min="27" max="27" bestFit="true" customWidth="true" width="7.6640625"/>
    <col min="28" max="28" customWidth="true" width="34.44140625"/>
    <col min="30" max="30" customWidth="true" width="8.0"/>
    <col min="31" max="31" customWidth="true" hidden="true" width="11.33203125"/>
    <col min="32" max="34" customWidth="true" hidden="true" width="9.44140625"/>
    <col min="35" max="35" customWidth="true" hidden="true" width="11.33203125"/>
    <col min="36" max="36" customWidth="true" width="22.0"/>
    <col min="37" max="37" customWidth="true" width="2.33203125"/>
    <col min="38" max="38" customWidth="true" width="23.33203125"/>
    <col min="39" max="39" bestFit="true" customWidth="true" width="25.6640625"/>
    <col min="40" max="40" bestFit="true" customWidth="true" width="7.6640625"/>
    <col min="41" max="41" bestFit="true" customWidth="true" width="6.33203125"/>
    <col min="42" max="42" customWidth="true" width="10.44140625"/>
    <col min="43" max="43" bestFit="true" customWidth="true" width="7.33203125"/>
    <col min="44" max="44" customWidth="true" width="4.0"/>
    <col min="47" max="47" customWidth="true" width="14.109375"/>
    <col min="48" max="48" customWidth="true" width="13.0"/>
    <col min="49" max="49" customWidth="true" width="16.6640625"/>
    <col min="50" max="50" customWidth="true" width="13.44140625"/>
    <col min="51" max="52" customWidth="true" width="12.44140625"/>
    <col min="53" max="53" bestFit="true" customWidth="true" width="11.33203125"/>
  </cols>
  <sheetData>
    <row r="1" spans="2:22" x14ac:dyDescent="0.25">
      <c r="B1" t="s" s="0">
        <v>38</v>
      </c>
    </row>
    <row r="4" spans="2:22" x14ac:dyDescent="0.25">
      <c r="B4" s="9" t="s">
        <v>33</v>
      </c>
      <c r="C4" s="10">
        <v>3</v>
      </c>
      <c r="D4" s="11"/>
      <c r="E4" s="10">
        <v>4</v>
      </c>
      <c r="F4" s="11"/>
      <c r="G4" s="10">
        <v>5</v>
      </c>
      <c r="H4" s="11"/>
      <c r="I4" s="212" t="s">
        <v>48</v>
      </c>
      <c r="J4" s="213"/>
      <c r="K4" s="212" t="s">
        <v>49</v>
      </c>
      <c r="L4" s="213"/>
      <c r="M4" s="212" t="s">
        <v>35</v>
      </c>
      <c r="N4" s="213"/>
      <c r="O4" s="212" t="s">
        <v>36</v>
      </c>
      <c r="P4" s="213"/>
      <c r="R4" s="12" t="s">
        <v>37</v>
      </c>
      <c r="S4" s="11"/>
      <c r="V4" s="0">
        <v>1</v>
      </c>
    </row>
    <row r="5" spans="2:22" x14ac:dyDescent="0.25">
      <c r="B5" s="13" t="s">
        <v>34</v>
      </c>
      <c r="C5" s="13" t="s">
        <v>40</v>
      </c>
      <c r="D5" s="14" t="s">
        <v>41</v>
      </c>
      <c r="E5" s="13" t="s">
        <v>40</v>
      </c>
      <c r="F5" s="14" t="s">
        <v>41</v>
      </c>
      <c r="G5" s="13" t="s">
        <v>40</v>
      </c>
      <c r="H5" s="14" t="s">
        <v>41</v>
      </c>
      <c r="I5" s="13" t="s">
        <v>40</v>
      </c>
      <c r="J5" s="14" t="s">
        <v>41</v>
      </c>
      <c r="K5" s="13" t="s">
        <v>40</v>
      </c>
      <c r="L5" s="14" t="s">
        <v>41</v>
      </c>
      <c r="M5" s="13" t="s">
        <v>40</v>
      </c>
      <c r="N5" s="14" t="s">
        <v>41</v>
      </c>
      <c r="O5" s="13" t="s">
        <v>40</v>
      </c>
      <c r="P5" s="14" t="s">
        <v>41</v>
      </c>
      <c r="R5" s="5"/>
      <c r="S5" s="6"/>
      <c r="V5" s="0">
        <v>2</v>
      </c>
    </row>
    <row r="6" spans="2:22" x14ac:dyDescent="0.25">
      <c r="B6" s="18">
        <v>0</v>
      </c>
      <c r="C6" s="16">
        <v>0.25</v>
      </c>
      <c r="D6" s="7">
        <v>0</v>
      </c>
      <c r="E6" s="16">
        <v>0.25</v>
      </c>
      <c r="F6" s="7">
        <v>0</v>
      </c>
      <c r="G6" s="16">
        <v>0.25</v>
      </c>
      <c r="H6" s="7">
        <v>0</v>
      </c>
      <c r="I6" s="16">
        <v>0.25</v>
      </c>
      <c r="J6" s="7">
        <v>0</v>
      </c>
      <c r="K6" s="16">
        <v>0.25</v>
      </c>
      <c r="L6" s="7">
        <v>0</v>
      </c>
      <c r="M6" s="16">
        <v>0.25</v>
      </c>
      <c r="N6" s="7">
        <v>0</v>
      </c>
      <c r="O6" s="16">
        <v>0.25</v>
      </c>
      <c r="P6" s="7">
        <v>0</v>
      </c>
      <c r="R6" s="20">
        <f><![CDATA[IF(Inputs!$C$22<=3,Lookups!$C6,IF(Inputs!$C$22<=4,Lookups!$E6,IF(Inputs!$C$22<=5,Lookups!$G6,IF(Inputs!$C$22<=10,$I6,IF(Inputs!$C$22<=15,Lookups!$K6,IF(Inputs!$C$22<=20,Lookups!$M6,Lookups!$O6))))))]]></f>
        <v>0.25</v>
      </c>
      <c r="S6" s="30">
        <f><![CDATA[IF(Inputs!$C$22<=3,Lookups!$D6,IF(Inputs!$C$22<=4,Lookups!$F6,IF(Inputs!$C$22<=5,Lookups!$H6,IF(Inputs!$C$22<=10,$J6,IF(Inputs!$C$22<=15,Lookups!$L6,IF(Inputs!$C$22<=20,Lookups!$N6,Lookups!$P6))))))]]></f>
        <v>0</v>
      </c>
      <c r="V6" s="0">
        <v>3</v>
      </c>
    </row>
    <row r="7" spans="2:22" x14ac:dyDescent="0.25">
      <c r="B7" s="18">
        <v>100000</v>
      </c>
      <c r="C7" s="16">
        <v>0.4</v>
      </c>
      <c r="D7" s="7">
        <v>0</v>
      </c>
      <c r="E7" s="16">
        <v>0.4</v>
      </c>
      <c r="F7" s="7">
        <v>0</v>
      </c>
      <c r="G7" s="16">
        <v>0.4</v>
      </c>
      <c r="H7" s="7">
        <v>0</v>
      </c>
      <c r="I7" s="16">
        <v>0.4</v>
      </c>
      <c r="J7" s="7">
        <v>0</v>
      </c>
      <c r="K7" s="17">
        <v>0.2</v>
      </c>
      <c r="L7" s="7">
        <f t="shared" ref="L7:P15" si="0">$H7*L$27</f>
        <v>0</v>
      </c>
      <c r="M7" s="17">
        <v>0.2</v>
      </c>
      <c r="N7" s="7">
        <f t="shared" si="0"/>
        <v>0</v>
      </c>
      <c r="O7" s="17">
        <v>0.2</v>
      </c>
      <c r="P7" s="7">
        <f t="shared" si="0"/>
        <v>0</v>
      </c>
      <c r="R7" s="20">
        <f><![CDATA[IF(Inputs!$C$22<=3,Lookups!$C7,IF(Inputs!$C$22<=4,Lookups!$E7,IF(Inputs!$C$22<=5,Lookups!$G7,IF(Inputs!$C$22<=10,$I7,IF(Inputs!$C$22<=15,Lookups!$K7,IF(Inputs!$C$22<=20,Lookups!$M7,Lookups!$O7))))))]]></f>
        <v>0.4</v>
      </c>
      <c r="S7" s="30">
        <f><![CDATA[IF(Inputs!$C$22<=3,Lookups!$D7,IF(Inputs!$C$22<=4,Lookups!$F7,IF(Inputs!$C$22<=5,Lookups!$H7,IF(Inputs!$C$22<=10,$J7,IF(Inputs!$C$22<=15,Lookups!$L7,IF(Inputs!$C$22<=20,Lookups!$N7,Lookups!$P7))))))]]></f>
        <v>0</v>
      </c>
      <c r="V7" s="0">
        <v>4</v>
      </c>
    </row>
    <row r="8" spans="2:22" x14ac:dyDescent="0.25">
      <c r="B8" s="18">
        <v>200000</v>
      </c>
      <c r="C8" s="16">
        <v>0.4</v>
      </c>
      <c r="D8" s="7">
        <v>0</v>
      </c>
      <c r="E8" s="16">
        <v>0.4</v>
      </c>
      <c r="F8" s="7">
        <v>0</v>
      </c>
      <c r="G8" s="16">
        <v>0.4</v>
      </c>
      <c r="H8" s="7">
        <v>0</v>
      </c>
      <c r="I8" s="16">
        <v>0.4</v>
      </c>
      <c r="J8" s="7">
        <v>0</v>
      </c>
      <c r="K8" s="16">
        <v>0.2</v>
      </c>
      <c r="L8" s="7">
        <f t="shared" si="0"/>
        <v>0</v>
      </c>
      <c r="M8" s="16">
        <v>0.2</v>
      </c>
      <c r="N8" s="7">
        <f t="shared" si="0"/>
        <v>0</v>
      </c>
      <c r="O8" s="16">
        <v>0.2</v>
      </c>
      <c r="P8" s="7">
        <f t="shared" si="0"/>
        <v>0</v>
      </c>
      <c r="R8" s="20">
        <f><![CDATA[IF(Inputs!$C$22<=3,Lookups!$C8,IF(Inputs!$C$22<=4,Lookups!$E8,IF(Inputs!$C$22<=5,Lookups!$G8,IF(Inputs!$C$22<=10,$I8,IF(Inputs!$C$22<=15,Lookups!$K8,IF(Inputs!$C$22<=20,Lookups!$M8,Lookups!$O8))))))]]></f>
        <v>0.4</v>
      </c>
      <c r="S8" s="30">
        <f><![CDATA[IF(Inputs!$C$22<=3,Lookups!$D8,IF(Inputs!$C$22<=4,Lookups!$F8,IF(Inputs!$C$22<=5,Lookups!$H8,IF(Inputs!$C$22<=10,$J8,IF(Inputs!$C$22<=15,Lookups!$L8,IF(Inputs!$C$22<=20,Lookups!$N8,Lookups!$P8))))))]]></f>
        <v>0</v>
      </c>
      <c r="V8" s="0">
        <v>5</v>
      </c>
    </row>
    <row r="9" spans="2:22" x14ac:dyDescent="0.25">
      <c r="B9" s="18">
        <v>300000</v>
      </c>
      <c r="C9" s="16">
        <v>0.4</v>
      </c>
      <c r="D9" s="7">
        <v>0</v>
      </c>
      <c r="E9" s="16">
        <v>0.4</v>
      </c>
      <c r="F9" s="7">
        <v>0</v>
      </c>
      <c r="G9" s="16">
        <v>0.4</v>
      </c>
      <c r="H9" s="7">
        <v>0</v>
      </c>
      <c r="I9" s="16">
        <v>0.4</v>
      </c>
      <c r="J9" s="7">
        <v>0</v>
      </c>
      <c r="K9" s="16">
        <v>0.2</v>
      </c>
      <c r="L9" s="7">
        <f t="shared" si="0"/>
        <v>0</v>
      </c>
      <c r="M9" s="16">
        <v>0.2</v>
      </c>
      <c r="N9" s="7">
        <f t="shared" si="0"/>
        <v>0</v>
      </c>
      <c r="O9" s="16">
        <v>0.2</v>
      </c>
      <c r="P9" s="7">
        <f t="shared" si="0"/>
        <v>0</v>
      </c>
      <c r="R9" s="20">
        <f><![CDATA[IF(Inputs!$C$22<=3,Lookups!$C9,IF(Inputs!$C$22<=4,Lookups!$E9,IF(Inputs!$C$22<=5,Lookups!$G9,IF(Inputs!$C$22<=10,$I9,IF(Inputs!$C$22<=15,Lookups!$K9,IF(Inputs!$C$22<=20,Lookups!$M9,Lookups!$O9))))))]]></f>
        <v>0.4</v>
      </c>
      <c r="S9" s="30">
        <f><![CDATA[IF(Inputs!$C$22<=3,Lookups!$D9,IF(Inputs!$C$22<=4,Lookups!$F9,IF(Inputs!$C$22<=5,Lookups!$H9,IF(Inputs!$C$22<=10,$J9,IF(Inputs!$C$22<=15,Lookups!$L9,IF(Inputs!$C$22<=20,Lookups!$N9,Lookups!$P9))))))]]></f>
        <v>0</v>
      </c>
      <c r="V9" s="0">
        <v>6</v>
      </c>
    </row>
    <row r="10" spans="2:22" x14ac:dyDescent="0.25">
      <c r="B10" s="18">
        <v>400000</v>
      </c>
      <c r="C10" s="16">
        <v>0.4</v>
      </c>
      <c r="D10" s="7">
        <v>0</v>
      </c>
      <c r="E10" s="16">
        <v>0.4</v>
      </c>
      <c r="F10" s="7">
        <v>0</v>
      </c>
      <c r="G10" s="16">
        <v>0.4</v>
      </c>
      <c r="H10" s="7">
        <v>0</v>
      </c>
      <c r="I10" s="16">
        <v>0.4</v>
      </c>
      <c r="J10" s="7">
        <v>0</v>
      </c>
      <c r="K10" s="16">
        <v>0.2</v>
      </c>
      <c r="L10" s="7">
        <f t="shared" si="0"/>
        <v>0</v>
      </c>
      <c r="M10" s="16">
        <v>0.2</v>
      </c>
      <c r="N10" s="7">
        <f t="shared" si="0"/>
        <v>0</v>
      </c>
      <c r="O10" s="16">
        <v>0.2</v>
      </c>
      <c r="P10" s="7">
        <f t="shared" si="0"/>
        <v>0</v>
      </c>
      <c r="R10" s="20">
        <f><![CDATA[IF(Inputs!$C$22<=3,Lookups!$C10,IF(Inputs!$C$22<=4,Lookups!$E10,IF(Inputs!$C$22<=5,Lookups!$G10,IF(Inputs!$C$22<=10,$I10,IF(Inputs!$C$22<=15,Lookups!$K10,IF(Inputs!$C$22<=20,Lookups!$M10,Lookups!$O10))))))]]></f>
        <v>0.4</v>
      </c>
      <c r="S10" s="30">
        <f><![CDATA[IF(Inputs!$C$22<=3,Lookups!$D10,IF(Inputs!$C$22<=4,Lookups!$F10,IF(Inputs!$C$22<=5,Lookups!$H10,IF(Inputs!$C$22<=10,$J10,IF(Inputs!$C$22<=15,Lookups!$L10,IF(Inputs!$C$22<=20,Lookups!$N10,Lookups!$P10))))))]]></f>
        <v>0</v>
      </c>
      <c r="V10" s="0">
        <v>7</v>
      </c>
    </row>
    <row r="11" spans="2:22" x14ac:dyDescent="0.25">
      <c r="B11" s="18">
        <v>500000</v>
      </c>
      <c r="C11" s="16">
        <v>0.4</v>
      </c>
      <c r="D11" s="7">
        <v>0</v>
      </c>
      <c r="E11" s="16">
        <v>0.4</v>
      </c>
      <c r="F11" s="7">
        <v>0</v>
      </c>
      <c r="G11" s="16">
        <v>0.4</v>
      </c>
      <c r="H11" s="7">
        <v>0</v>
      </c>
      <c r="I11" s="16">
        <v>0.4</v>
      </c>
      <c r="J11" s="7">
        <v>0</v>
      </c>
      <c r="K11" s="16">
        <v>0.25</v>
      </c>
      <c r="L11" s="7">
        <f t="shared" si="0"/>
        <v>0</v>
      </c>
      <c r="M11" s="16">
        <v>0.25</v>
      </c>
      <c r="N11" s="7">
        <f t="shared" si="0"/>
        <v>0</v>
      </c>
      <c r="O11" s="16">
        <v>0.25</v>
      </c>
      <c r="P11" s="7">
        <f t="shared" si="0"/>
        <v>0</v>
      </c>
      <c r="R11" s="20">
        <f><![CDATA[IF(Inputs!$C$22<=3,Lookups!$C11,IF(Inputs!$C$22<=4,Lookups!$E11,IF(Inputs!$C$22<=5,Lookups!$G11,IF(Inputs!$C$22<=10,$I11,IF(Inputs!$C$22<=15,Lookups!$K11,IF(Inputs!$C$22<=20,Lookups!$M11,Lookups!$O11))))))]]></f>
        <v>0.4</v>
      </c>
      <c r="S11" s="30">
        <f><![CDATA[IF(Inputs!$C$22<=3,Lookups!$D11,IF(Inputs!$C$22<=4,Lookups!$F11,IF(Inputs!$C$22<=5,Lookups!$H11,IF(Inputs!$C$22<=10,$J11,IF(Inputs!$C$22<=15,Lookups!$L11,IF(Inputs!$C$22<=20,Lookups!$N11,Lookups!$P11))))))]]></f>
        <v>0</v>
      </c>
    </row>
    <row r="12" spans="2:22" x14ac:dyDescent="0.25">
      <c r="B12" s="18">
        <v>600000</v>
      </c>
      <c r="C12" s="16">
        <v>0.4</v>
      </c>
      <c r="D12" s="7">
        <v>0</v>
      </c>
      <c r="E12" s="16">
        <v>0.4</v>
      </c>
      <c r="F12" s="7">
        <v>0</v>
      </c>
      <c r="G12" s="16">
        <v>0.4</v>
      </c>
      <c r="H12" s="7">
        <v>0</v>
      </c>
      <c r="I12" s="16">
        <v>0.4</v>
      </c>
      <c r="J12" s="7">
        <v>0</v>
      </c>
      <c r="K12" s="16">
        <v>0.28000000000000003</v>
      </c>
      <c r="L12" s="7">
        <f t="shared" si="0"/>
        <v>0</v>
      </c>
      <c r="M12" s="16">
        <v>0.28000000000000003</v>
      </c>
      <c r="N12" s="7">
        <f t="shared" si="0"/>
        <v>0</v>
      </c>
      <c r="O12" s="16">
        <v>0.28000000000000003</v>
      </c>
      <c r="P12" s="7">
        <f t="shared" si="0"/>
        <v>0</v>
      </c>
      <c r="R12" s="20">
        <f><![CDATA[IF(Inputs!$C$22<=3,Lookups!$C12,IF(Inputs!$C$22<=4,Lookups!$E12,IF(Inputs!$C$22<=5,Lookups!$G12,IF(Inputs!$C$22<=10,$I12,IF(Inputs!$C$22<=15,Lookups!$K12,IF(Inputs!$C$22<=20,Lookups!$M12,Lookups!$O12))))))]]></f>
        <v>0.4</v>
      </c>
      <c r="S12" s="30">
        <f><![CDATA[IF(Inputs!$C$22<=3,Lookups!$D12,IF(Inputs!$C$22<=4,Lookups!$F12,IF(Inputs!$C$22<=5,Lookups!$H12,IF(Inputs!$C$22<=10,$J12,IF(Inputs!$C$22<=15,Lookups!$L12,IF(Inputs!$C$22<=20,Lookups!$N12,Lookups!$P12))))))]]></f>
        <v>0</v>
      </c>
    </row>
    <row r="13" spans="2:22" x14ac:dyDescent="0.25">
      <c r="B13" s="18">
        <v>700000</v>
      </c>
      <c r="C13" s="16">
        <v>0.4</v>
      </c>
      <c r="D13" s="7">
        <v>0</v>
      </c>
      <c r="E13" s="16">
        <v>0.4</v>
      </c>
      <c r="F13" s="7">
        <v>0</v>
      </c>
      <c r="G13" s="16">
        <v>0.4</v>
      </c>
      <c r="H13" s="7">
        <v>0</v>
      </c>
      <c r="I13" s="16">
        <v>0.4</v>
      </c>
      <c r="J13" s="7">
        <v>0</v>
      </c>
      <c r="K13" s="16">
        <v>0.34</v>
      </c>
      <c r="L13" s="7">
        <f t="shared" si="0"/>
        <v>0</v>
      </c>
      <c r="M13" s="16">
        <v>0.34</v>
      </c>
      <c r="N13" s="7">
        <f t="shared" si="0"/>
        <v>0</v>
      </c>
      <c r="O13" s="16">
        <v>0.34</v>
      </c>
      <c r="P13" s="7">
        <f t="shared" si="0"/>
        <v>0</v>
      </c>
      <c r="R13" s="20">
        <f><![CDATA[IF(Inputs!$C$22<=3,Lookups!$C13,IF(Inputs!$C$22<=4,Lookups!$E13,IF(Inputs!$C$22<=5,Lookups!$G13,IF(Inputs!$C$22<=10,$I13,IF(Inputs!$C$22<=15,Lookups!$K13,IF(Inputs!$C$22<=20,Lookups!$M13,Lookups!$O13))))))]]></f>
        <v>0.4</v>
      </c>
      <c r="S13" s="30">
        <f><![CDATA[IF(Inputs!$C$22<=3,Lookups!$D13,IF(Inputs!$C$22<=4,Lookups!$F13,IF(Inputs!$C$22<=5,Lookups!$H13,IF(Inputs!$C$22<=10,$J13,IF(Inputs!$C$22<=15,Lookups!$L13,IF(Inputs!$C$22<=20,Lookups!$N13,Lookups!$P13))))))]]></f>
        <v>0</v>
      </c>
    </row>
    <row r="14" spans="2:22" x14ac:dyDescent="0.25">
      <c r="B14" s="18">
        <v>800000</v>
      </c>
      <c r="C14" s="16">
        <v>0.4</v>
      </c>
      <c r="D14" s="7">
        <v>0</v>
      </c>
      <c r="E14" s="16">
        <v>0.4</v>
      </c>
      <c r="F14" s="7">
        <v>0</v>
      </c>
      <c r="G14" s="16">
        <v>0.4</v>
      </c>
      <c r="H14" s="7">
        <v>0</v>
      </c>
      <c r="I14" s="16">
        <v>0.4</v>
      </c>
      <c r="J14" s="7">
        <v>0</v>
      </c>
      <c r="K14" s="16">
        <v>0.39</v>
      </c>
      <c r="L14" s="7">
        <f t="shared" si="0"/>
        <v>0</v>
      </c>
      <c r="M14" s="16">
        <v>0.39</v>
      </c>
      <c r="N14" s="7">
        <f t="shared" si="0"/>
        <v>0</v>
      </c>
      <c r="O14" s="16">
        <v>0.39</v>
      </c>
      <c r="P14" s="7">
        <f t="shared" si="0"/>
        <v>0</v>
      </c>
      <c r="R14" s="20">
        <f><![CDATA[IF(Inputs!$C$22<=3,Lookups!$C14,IF(Inputs!$C$22<=4,Lookups!$E14,IF(Inputs!$C$22<=5,Lookups!$G14,IF(Inputs!$C$22<=10,$I14,IF(Inputs!$C$22<=15,Lookups!$K14,IF(Inputs!$C$22<=20,Lookups!$M14,Lookups!$O14))))))]]></f>
        <v>0.4</v>
      </c>
      <c r="S14" s="30">
        <f><![CDATA[IF(Inputs!$C$22<=3,Lookups!$D14,IF(Inputs!$C$22<=4,Lookups!$F14,IF(Inputs!$C$22<=5,Lookups!$H14,IF(Inputs!$C$22<=10,$J14,IF(Inputs!$C$22<=15,Lookups!$L14,IF(Inputs!$C$22<=20,Lookups!$N14,Lookups!$P14))))))]]></f>
        <v>0</v>
      </c>
    </row>
    <row r="15" spans="2:22" x14ac:dyDescent="0.25">
      <c r="B15" s="18">
        <v>900000</v>
      </c>
      <c r="C15" s="16">
        <v>0.4</v>
      </c>
      <c r="D15" s="7">
        <v>0</v>
      </c>
      <c r="E15" s="16">
        <v>0.4</v>
      </c>
      <c r="F15" s="7">
        <v>0</v>
      </c>
      <c r="G15" s="16">
        <v>0.4</v>
      </c>
      <c r="H15" s="7">
        <v>0</v>
      </c>
      <c r="I15" s="16">
        <v>0.4</v>
      </c>
      <c r="J15" s="7">
        <v>0</v>
      </c>
      <c r="K15" s="16">
        <v>0.4</v>
      </c>
      <c r="L15" s="7">
        <f t="shared" si="0"/>
        <v>0</v>
      </c>
      <c r="M15" s="16">
        <v>0.4</v>
      </c>
      <c r="N15" s="7">
        <f t="shared" si="0"/>
        <v>0</v>
      </c>
      <c r="O15" s="16">
        <v>0.4</v>
      </c>
      <c r="P15" s="7">
        <f t="shared" si="0"/>
        <v>0</v>
      </c>
      <c r="R15" s="20">
        <f><![CDATA[IF(Inputs!$C$22<=3,Lookups!$C15,IF(Inputs!$C$22<=4,Lookups!$E15,IF(Inputs!$C$22<=5,Lookups!$G15,IF(Inputs!$C$22<=10,$I15,IF(Inputs!$C$22<=15,Lookups!$K15,IF(Inputs!$C$22<=20,Lookups!$M15,Lookups!$O15))))))]]></f>
        <v>0.4</v>
      </c>
      <c r="S15" s="30">
        <f><![CDATA[IF(Inputs!$C$22<=3,Lookups!$D15,IF(Inputs!$C$22<=4,Lookups!$F15,IF(Inputs!$C$22<=5,Lookups!$H15,IF(Inputs!$C$22<=10,$J15,IF(Inputs!$C$22<=15,Lookups!$L15,IF(Inputs!$C$22<=20,Lookups!$N15,Lookups!$P15))))))]]></f>
        <v>0</v>
      </c>
    </row>
    <row r="16" spans="2:22" x14ac:dyDescent="0.25">
      <c r="B16" s="18">
        <v>1000000</v>
      </c>
      <c r="C16" s="16">
        <v>0.4</v>
      </c>
      <c r="D16" s="7">
        <v>0</v>
      </c>
      <c r="E16" s="16">
        <v>0.4</v>
      </c>
      <c r="F16" s="7">
        <v>0</v>
      </c>
      <c r="G16" s="16">
        <v>0.4</v>
      </c>
      <c r="H16" s="7">
        <v>0</v>
      </c>
      <c r="I16" s="16">
        <v>0.4</v>
      </c>
      <c r="J16" s="7">
        <v>0</v>
      </c>
      <c r="K16" s="16">
        <v>0.4</v>
      </c>
      <c r="L16" s="7">
        <v>0</v>
      </c>
      <c r="M16" s="16">
        <v>0.4</v>
      </c>
      <c r="N16" s="7">
        <v>0</v>
      </c>
      <c r="O16" s="16">
        <v>0.4</v>
      </c>
      <c r="P16" s="7">
        <v>0</v>
      </c>
      <c r="R16" s="20">
        <f><![CDATA[IF(Inputs!$C$22<=3,Lookups!$C16,IF(Inputs!$C$22<=4,Lookups!$E16,IF(Inputs!$C$22<=5,Lookups!$G16,IF(Inputs!$C$22<=10,$I16,IF(Inputs!$C$22<=15,Lookups!$K16,IF(Inputs!$C$22<=20,Lookups!$M16,Lookups!$O16))))))]]></f>
        <v>0.4</v>
      </c>
      <c r="S16" s="30">
        <f><![CDATA[IF(Inputs!$C$22<=3,Lookups!$D16,IF(Inputs!$C$22<=4,Lookups!$F16,IF(Inputs!$C$22<=5,Lookups!$H16,IF(Inputs!$C$22<=10,$J16,IF(Inputs!$C$22<=15,Lookups!$L16,IF(Inputs!$C$22<=20,Lookups!$N16,Lookups!$P16))))))]]></f>
        <v>0</v>
      </c>
    </row>
    <row r="17" spans="2:28" x14ac:dyDescent="0.25">
      <c r="B17" s="18">
        <v>1100000</v>
      </c>
      <c r="C17" s="16">
        <v>0.4</v>
      </c>
      <c r="D17" s="8">
        <v>0.01</v>
      </c>
      <c r="E17" s="16">
        <v>0.4</v>
      </c>
      <c r="F17" s="8">
        <v>0.01</v>
      </c>
      <c r="G17" s="16">
        <v>0.4</v>
      </c>
      <c r="H17" s="8">
        <v>0.01</v>
      </c>
      <c r="I17" s="16">
        <v>0.4</v>
      </c>
      <c r="J17" s="8">
        <v>0.01</v>
      </c>
      <c r="K17" s="16">
        <v>0.4</v>
      </c>
      <c r="L17" s="8">
        <v>0.01</v>
      </c>
      <c r="M17" s="16">
        <v>0.4</v>
      </c>
      <c r="N17" s="8">
        <v>0.01</v>
      </c>
      <c r="O17" s="16">
        <v>0.4</v>
      </c>
      <c r="P17" s="8">
        <v>0.01</v>
      </c>
      <c r="R17" s="20">
        <f><![CDATA[IF(Inputs!$C$22<=3,Lookups!$C17,IF(Inputs!$C$22<=4,Lookups!$E17,IF(Inputs!$C$22<=5,Lookups!$G17,IF(Inputs!$C$22<=10,$I17,IF(Inputs!$C$22<=15,Lookups!$K17,IF(Inputs!$C$22<=20,Lookups!$M17,Lookups!$O17))))))]]></f>
        <v>0.4</v>
      </c>
      <c r="S17" s="30">
        <f><![CDATA[IF(Inputs!$C$22<=3,Lookups!$D17,IF(Inputs!$C$22<=4,Lookups!$F17,IF(Inputs!$C$22<=5,Lookups!$H17,IF(Inputs!$C$22<=10,$J17,IF(Inputs!$C$22<=15,Lookups!$L17,IF(Inputs!$C$22<=20,Lookups!$N17,Lookups!$P17))))))]]></f>
        <v>0.01</v>
      </c>
    </row>
    <row r="18" spans="2:28" x14ac:dyDescent="0.25">
      <c r="B18" s="18">
        <v>1200000</v>
      </c>
      <c r="C18" s="16">
        <v>0.4</v>
      </c>
      <c r="D18" s="8">
        <v>0.01</v>
      </c>
      <c r="E18" s="16">
        <v>0.4</v>
      </c>
      <c r="F18" s="8">
        <v>0.01</v>
      </c>
      <c r="G18" s="16">
        <v>0.4</v>
      </c>
      <c r="H18" s="8">
        <v>0.01</v>
      </c>
      <c r="I18" s="16">
        <v>0.4</v>
      </c>
      <c r="J18" s="8">
        <v>0.01</v>
      </c>
      <c r="K18" s="16">
        <v>0.4</v>
      </c>
      <c r="L18" s="8">
        <v>0.01</v>
      </c>
      <c r="M18" s="16">
        <v>0.4</v>
      </c>
      <c r="N18" s="8">
        <v>0.01</v>
      </c>
      <c r="O18" s="16">
        <v>0.4</v>
      </c>
      <c r="P18" s="8">
        <v>0.01</v>
      </c>
      <c r="R18" s="20">
        <f><![CDATA[IF(Inputs!$C$22<=3,Lookups!$C18,IF(Inputs!$C$22<=4,Lookups!$E18,IF(Inputs!$C$22<=5,Lookups!$G18,IF(Inputs!$C$22<=10,$I18,IF(Inputs!$C$22<=15,Lookups!$K18,IF(Inputs!$C$22<=20,Lookups!$M18,Lookups!$O18))))))]]></f>
        <v>0.4</v>
      </c>
      <c r="S18" s="30">
        <f><![CDATA[IF(Inputs!$C$22<=3,Lookups!$D18,IF(Inputs!$C$22<=4,Lookups!$F18,IF(Inputs!$C$22<=5,Lookups!$H18,IF(Inputs!$C$22<=10,$J18,IF(Inputs!$C$22<=15,Lookups!$L18,IF(Inputs!$C$22<=20,Lookups!$N18,Lookups!$P18))))))]]></f>
        <v>0.01</v>
      </c>
    </row>
    <row r="19" spans="2:28" x14ac:dyDescent="0.25">
      <c r="B19" s="18">
        <v>1300000</v>
      </c>
      <c r="C19" s="16">
        <v>0.4</v>
      </c>
      <c r="D19" s="8">
        <v>0.01</v>
      </c>
      <c r="E19" s="16">
        <v>0.4</v>
      </c>
      <c r="F19" s="8">
        <v>0.01</v>
      </c>
      <c r="G19" s="16">
        <v>0.4</v>
      </c>
      <c r="H19" s="8">
        <v>0.01</v>
      </c>
      <c r="I19" s="16">
        <v>0.4</v>
      </c>
      <c r="J19" s="8">
        <v>0.01</v>
      </c>
      <c r="K19" s="16">
        <v>0.4</v>
      </c>
      <c r="L19" s="8">
        <v>0.01</v>
      </c>
      <c r="M19" s="16">
        <v>0.4</v>
      </c>
      <c r="N19" s="8">
        <v>0.01</v>
      </c>
      <c r="O19" s="16">
        <v>0.4</v>
      </c>
      <c r="P19" s="8">
        <v>0.01</v>
      </c>
      <c r="R19" s="20">
        <f><![CDATA[IF(Inputs!$C$22<=3,Lookups!$C19,IF(Inputs!$C$22<=4,Lookups!$E19,IF(Inputs!$C$22<=5,Lookups!$G19,IF(Inputs!$C$22<=10,$I19,IF(Inputs!$C$22<=15,Lookups!$K19,IF(Inputs!$C$22<=20,Lookups!$M19,Lookups!$O19))))))]]></f>
        <v>0.4</v>
      </c>
      <c r="S19" s="30">
        <f><![CDATA[IF(Inputs!$C$22<=3,Lookups!$D19,IF(Inputs!$C$22<=4,Lookups!$F19,IF(Inputs!$C$22<=5,Lookups!$H19,IF(Inputs!$C$22<=10,$J19,IF(Inputs!$C$22<=15,Lookups!$L19,IF(Inputs!$C$22<=20,Lookups!$N19,Lookups!$P19))))))]]></f>
        <v>0.01</v>
      </c>
    </row>
    <row r="20" spans="2:28" x14ac:dyDescent="0.25">
      <c r="B20" s="18">
        <v>1400000</v>
      </c>
      <c r="C20" s="16">
        <v>0.4</v>
      </c>
      <c r="D20" s="8">
        <v>0.01</v>
      </c>
      <c r="E20" s="16">
        <v>0.4</v>
      </c>
      <c r="F20" s="8">
        <v>0.01</v>
      </c>
      <c r="G20" s="16">
        <v>0.4</v>
      </c>
      <c r="H20" s="8">
        <v>0.01</v>
      </c>
      <c r="I20" s="16">
        <v>0.4</v>
      </c>
      <c r="J20" s="8">
        <v>0.01</v>
      </c>
      <c r="K20" s="16">
        <v>0.4</v>
      </c>
      <c r="L20" s="8">
        <v>0.01</v>
      </c>
      <c r="M20" s="16">
        <v>0.4</v>
      </c>
      <c r="N20" s="8">
        <v>0.01</v>
      </c>
      <c r="O20" s="16">
        <v>0.4</v>
      </c>
      <c r="P20" s="8">
        <v>0.01</v>
      </c>
      <c r="R20" s="20">
        <f><![CDATA[IF(Inputs!$C$22<=3,Lookups!$C20,IF(Inputs!$C$22<=4,Lookups!$E20,IF(Inputs!$C$22<=5,Lookups!$G20,IF(Inputs!$C$22<=10,$I20,IF(Inputs!$C$22<=15,Lookups!$K20,IF(Inputs!$C$22<=20,Lookups!$M20,Lookups!$O20))))))]]></f>
        <v>0.4</v>
      </c>
      <c r="S20" s="30">
        <f><![CDATA[IF(Inputs!$C$22<=3,Lookups!$D20,IF(Inputs!$C$22<=4,Lookups!$F20,IF(Inputs!$C$22<=5,Lookups!$H20,IF(Inputs!$C$22<=10,$J20,IF(Inputs!$C$22<=15,Lookups!$L20,IF(Inputs!$C$22<=20,Lookups!$N20,Lookups!$P20))))))]]></f>
        <v>0.01</v>
      </c>
    </row>
    <row r="21" spans="2:28" x14ac:dyDescent="0.25">
      <c r="B21" s="18">
        <v>1500000</v>
      </c>
      <c r="C21" s="16">
        <v>0.4</v>
      </c>
      <c r="D21" s="8">
        <v>0.01</v>
      </c>
      <c r="E21" s="16">
        <v>0.4</v>
      </c>
      <c r="F21" s="8">
        <v>0.01</v>
      </c>
      <c r="G21" s="16">
        <v>0.4</v>
      </c>
      <c r="H21" s="8">
        <v>0.01</v>
      </c>
      <c r="I21" s="16">
        <v>0.4</v>
      </c>
      <c r="J21" s="8">
        <v>0.01</v>
      </c>
      <c r="K21" s="16">
        <v>0.4</v>
      </c>
      <c r="L21" s="8">
        <v>0.01</v>
      </c>
      <c r="M21" s="16">
        <v>0.4</v>
      </c>
      <c r="N21" s="8">
        <v>0.01</v>
      </c>
      <c r="O21" s="16">
        <v>0.4</v>
      </c>
      <c r="P21" s="8">
        <v>0.01</v>
      </c>
      <c r="R21" s="20">
        <f><![CDATA[IF(Inputs!$C$22<=3,Lookups!$C21,IF(Inputs!$C$22<=4,Lookups!$E21,IF(Inputs!$C$22<=5,Lookups!$G21,IF(Inputs!$C$22<=10,$I21,IF(Inputs!$C$22<=15,Lookups!$K21,IF(Inputs!$C$22<=20,Lookups!$M21,Lookups!$O21))))))]]></f>
        <v>0.4</v>
      </c>
      <c r="S21" s="30">
        <f><![CDATA[IF(Inputs!$C$22<=3,Lookups!$D21,IF(Inputs!$C$22<=4,Lookups!$F21,IF(Inputs!$C$22<=5,Lookups!$H21,IF(Inputs!$C$22<=10,$J21,IF(Inputs!$C$22<=15,Lookups!$L21,IF(Inputs!$C$22<=20,Lookups!$N21,Lookups!$P21))))))]]></f>
        <v>0.01</v>
      </c>
    </row>
    <row r="22" spans="2:28" x14ac:dyDescent="0.25">
      <c r="B22" s="18">
        <v>1600000</v>
      </c>
      <c r="C22" s="16">
        <v>0.4</v>
      </c>
      <c r="D22" s="8">
        <v>0.01</v>
      </c>
      <c r="E22" s="16">
        <v>0.4</v>
      </c>
      <c r="F22" s="8">
        <v>0.01</v>
      </c>
      <c r="G22" s="16">
        <v>0.4</v>
      </c>
      <c r="H22" s="8">
        <v>0.01</v>
      </c>
      <c r="I22" s="16">
        <v>0.4</v>
      </c>
      <c r="J22" s="8">
        <v>0.01</v>
      </c>
      <c r="K22" s="16">
        <v>0.4</v>
      </c>
      <c r="L22" s="8">
        <v>0.01</v>
      </c>
      <c r="M22" s="16">
        <v>0.4</v>
      </c>
      <c r="N22" s="8">
        <v>0.01</v>
      </c>
      <c r="O22" s="16">
        <v>0.4</v>
      </c>
      <c r="P22" s="8">
        <v>0.01</v>
      </c>
      <c r="R22" s="20">
        <f><![CDATA[IF(Inputs!$C$22<=3,Lookups!$C22,IF(Inputs!$C$22<=4,Lookups!$E22,IF(Inputs!$C$22<=5,Lookups!$G22,IF(Inputs!$C$22<=10,$I22,IF(Inputs!$C$22<=15,Lookups!$K22,IF(Inputs!$C$22<=20,Lookups!$M22,Lookups!$O22))))))]]></f>
        <v>0.4</v>
      </c>
      <c r="S22" s="30">
        <f><![CDATA[IF(Inputs!$C$22<=3,Lookups!$D22,IF(Inputs!$C$22<=4,Lookups!$F22,IF(Inputs!$C$22<=5,Lookups!$H22,IF(Inputs!$C$22<=10,$J22,IF(Inputs!$C$22<=15,Lookups!$L22,IF(Inputs!$C$22<=20,Lookups!$N22,Lookups!$P22))))))]]></f>
        <v>0.01</v>
      </c>
    </row>
    <row r="23" spans="2:28" x14ac:dyDescent="0.25">
      <c r="B23" s="18">
        <v>1700000</v>
      </c>
      <c r="C23" s="16">
        <v>0.4</v>
      </c>
      <c r="D23" s="8">
        <v>0.01</v>
      </c>
      <c r="E23" s="16">
        <v>0.4</v>
      </c>
      <c r="F23" s="8">
        <v>0.01</v>
      </c>
      <c r="G23" s="16">
        <v>0.4</v>
      </c>
      <c r="H23" s="8">
        <v>0.01</v>
      </c>
      <c r="I23" s="16">
        <v>0.4</v>
      </c>
      <c r="J23" s="8">
        <v>0.01</v>
      </c>
      <c r="K23" s="16">
        <v>0.4</v>
      </c>
      <c r="L23" s="8">
        <v>0.01</v>
      </c>
      <c r="M23" s="16">
        <v>0.4</v>
      </c>
      <c r="N23" s="8">
        <v>0.01</v>
      </c>
      <c r="O23" s="16">
        <v>0.4</v>
      </c>
      <c r="P23" s="8">
        <v>0.01</v>
      </c>
      <c r="R23" s="20">
        <f><![CDATA[IF(Inputs!$C$22<=3,Lookups!$C23,IF(Inputs!$C$22<=4,Lookups!$E23,IF(Inputs!$C$22<=5,Lookups!$G23,IF(Inputs!$C$22<=10,$I23,IF(Inputs!$C$22<=15,Lookups!$K23,IF(Inputs!$C$22<=20,Lookups!$M23,Lookups!$O23))))))]]></f>
        <v>0.4</v>
      </c>
      <c r="S23" s="30">
        <f><![CDATA[IF(Inputs!$C$22<=3,Lookups!$D23,IF(Inputs!$C$22<=4,Lookups!$F23,IF(Inputs!$C$22<=5,Lookups!$H23,IF(Inputs!$C$22<=10,$J23,IF(Inputs!$C$22<=15,Lookups!$L23,IF(Inputs!$C$22<=20,Lookups!$N23,Lookups!$P23))))))]]></f>
        <v>0.01</v>
      </c>
    </row>
    <row r="24" spans="2:28" x14ac:dyDescent="0.25">
      <c r="B24" s="18">
        <v>1800000</v>
      </c>
      <c r="C24" s="16">
        <v>0.4</v>
      </c>
      <c r="D24" s="8">
        <v>0.01</v>
      </c>
      <c r="E24" s="16">
        <v>0.4</v>
      </c>
      <c r="F24" s="8">
        <v>0.01</v>
      </c>
      <c r="G24" s="16">
        <v>0.4</v>
      </c>
      <c r="H24" s="8">
        <v>0.01</v>
      </c>
      <c r="I24" s="16">
        <v>0.4</v>
      </c>
      <c r="J24" s="8">
        <v>0.01</v>
      </c>
      <c r="K24" s="16">
        <v>0.4</v>
      </c>
      <c r="L24" s="8">
        <v>0.01</v>
      </c>
      <c r="M24" s="16">
        <v>0.4</v>
      </c>
      <c r="N24" s="8">
        <v>0.01</v>
      </c>
      <c r="O24" s="16">
        <v>0.4</v>
      </c>
      <c r="P24" s="8">
        <v>0.01</v>
      </c>
      <c r="R24" s="20">
        <f><![CDATA[IF(Inputs!$C$22<=3,Lookups!$C24,IF(Inputs!$C$22<=4,Lookups!$E24,IF(Inputs!$C$22<=5,Lookups!$G24,IF(Inputs!$C$22<=10,$I24,IF(Inputs!$C$22<=15,Lookups!$K24,IF(Inputs!$C$22<=20,Lookups!$M24,Lookups!$O24))))))]]></f>
        <v>0.4</v>
      </c>
      <c r="S24" s="30">
        <f><![CDATA[IF(Inputs!$C$22<=3,Lookups!$D24,IF(Inputs!$C$22<=4,Lookups!$F24,IF(Inputs!$C$22<=5,Lookups!$H24,IF(Inputs!$C$22<=10,$J24,IF(Inputs!$C$22<=15,Lookups!$L24,IF(Inputs!$C$22<=20,Lookups!$N24,Lookups!$P24))))))]]></f>
        <v>0.01</v>
      </c>
    </row>
    <row r="25" spans="2:28" x14ac:dyDescent="0.25">
      <c r="B25" s="18">
        <v>1900000</v>
      </c>
      <c r="C25" s="16">
        <v>0.4</v>
      </c>
      <c r="D25" s="8">
        <v>0.01</v>
      </c>
      <c r="E25" s="16">
        <v>0.4</v>
      </c>
      <c r="F25" s="8">
        <v>0.01</v>
      </c>
      <c r="G25" s="16">
        <v>0.4</v>
      </c>
      <c r="H25" s="8">
        <v>0.01</v>
      </c>
      <c r="I25" s="16">
        <v>0.4</v>
      </c>
      <c r="J25" s="8">
        <v>0.01</v>
      </c>
      <c r="K25" s="16">
        <v>0.4</v>
      </c>
      <c r="L25" s="8">
        <v>0.01</v>
      </c>
      <c r="M25" s="16">
        <v>0.4</v>
      </c>
      <c r="N25" s="8">
        <v>0.01</v>
      </c>
      <c r="O25" s="16">
        <v>0.4</v>
      </c>
      <c r="P25" s="8">
        <v>0.01</v>
      </c>
      <c r="R25" s="20">
        <f><![CDATA[IF(Inputs!$C$22<=3,Lookups!$C25,IF(Inputs!$C$22<=4,Lookups!$E25,IF(Inputs!$C$22<=5,Lookups!$G25,IF(Inputs!$C$22<=10,$I25,IF(Inputs!$C$22<=15,Lookups!$K25,IF(Inputs!$C$22<=20,Lookups!$M25,Lookups!$O25))))))]]></f>
        <v>0.4</v>
      </c>
      <c r="S25" s="30">
        <f><![CDATA[IF(Inputs!$C$22<=3,Lookups!$D25,IF(Inputs!$C$22<=4,Lookups!$F25,IF(Inputs!$C$22<=5,Lookups!$H25,IF(Inputs!$C$22<=10,$J25,IF(Inputs!$C$22<=15,Lookups!$L25,IF(Inputs!$C$22<=20,Lookups!$N25,Lookups!$P25))))))]]></f>
        <v>0.01</v>
      </c>
    </row>
    <row r="26" spans="2:28" x14ac:dyDescent="0.25">
      <c r="M26" s="187"/>
      <c r="N26" s="188"/>
    </row>
    <row r="27" spans="2:28" x14ac:dyDescent="0.25">
      <c r="J27" s="15">
        <v>1.1000000000000001</v>
      </c>
      <c r="L27" s="15">
        <v>1.3</v>
      </c>
      <c r="N27" s="15">
        <v>1.4</v>
      </c>
      <c r="P27" s="15">
        <v>1.5</v>
      </c>
    </row>
    <row r="32" spans="2:28" ht="15.6" x14ac:dyDescent="0.3">
      <c r="V32" s="209" t="s">
        <v>50</v>
      </c>
      <c r="W32" s="210"/>
      <c r="X32" s="211"/>
      <c r="Y32" s="29"/>
      <c r="Z32" s="208" t="s">
        <v>50</v>
      </c>
      <c r="AA32" s="208"/>
      <c r="AB32" s="208"/>
    </row>
    <row r="33" spans="2:43" ht="26.25" customHeight="1" x14ac:dyDescent="0.25">
      <c r="C33" t="s" s="0">
        <v>7</v>
      </c>
      <c r="D33" s="133">
        <f>+Inputs!C22</f>
        <v>10</v>
      </c>
      <c r="F33" s="133">
        <f>Inputs!C22+1</f>
        <v>11</v>
      </c>
      <c r="H33" s="0">
        <f>+Inputs!C22+2</f>
        <v>12</v>
      </c>
      <c r="J33" s="0">
        <f>+Inputs!C22+3</f>
        <v>13</v>
      </c>
      <c r="L33" s="0">
        <f>+Inputs!C22+4</f>
        <v>14</v>
      </c>
      <c r="N33" s="133">
        <f>+Inputs!C22+5</f>
        <v>15</v>
      </c>
      <c r="P33" s="133">
        <f>+Inputs!C22+6</f>
        <v>16</v>
      </c>
      <c r="U33" t="s" s="0">
        <v>23</v>
      </c>
      <c r="V33" s="24"/>
      <c r="W33" s="25" t="s">
        <v>51</v>
      </c>
      <c r="X33" s="26" t="s">
        <v>52</v>
      </c>
      <c r="Z33" s="1"/>
      <c r="AA33" s="1" t="s">
        <v>51</v>
      </c>
      <c r="AB33" s="1" t="s">
        <v>52</v>
      </c>
    </row>
    <row r="34" spans="2:43" x14ac:dyDescent="0.25">
      <c r="B34" s="9" t="s">
        <v>33</v>
      </c>
      <c r="C34" s="12" t="s">
        <v>37</v>
      </c>
      <c r="D34" s="11"/>
      <c r="E34" s="12" t="s">
        <v>37</v>
      </c>
      <c r="F34" s="11"/>
      <c r="G34" s="12" t="s">
        <v>37</v>
      </c>
      <c r="H34" s="11"/>
      <c r="I34" s="12" t="s">
        <v>37</v>
      </c>
      <c r="J34" s="11"/>
      <c r="K34" s="12" t="s">
        <v>37</v>
      </c>
      <c r="L34" s="11"/>
      <c r="M34" s="12" t="s">
        <v>37</v>
      </c>
      <c r="N34" s="11"/>
      <c r="O34" s="12" t="s">
        <v>37</v>
      </c>
      <c r="P34" s="11"/>
      <c r="R34" t="s" s="0">
        <v>23</v>
      </c>
      <c r="S34" s="35"/>
      <c r="V34" s="21">
        <f>Receiving!D18</f>
        <v>1250000</v>
      </c>
      <c r="W34" s="22">
        <f>LOOKUP($V34,Lookups!$B$34:$B$55,Lookups!$C$34:$C$55)</f>
        <v>0.4</v>
      </c>
      <c r="X34" s="23">
        <f>LOOKUP($V34,Lookups!$B$34:$B$55,Lookups!$D$34:$D$55)</f>
        <v>0.01</v>
      </c>
      <c r="Z34" s="21">
        <f>Receiving!K18</f>
        <v>2500000</v>
      </c>
      <c r="AA34" s="22">
        <f>LOOKUP($Z34,Lookups!$B$34:$B$55,Lookups!$C$34:$C$55)</f>
        <v>0.4</v>
      </c>
      <c r="AB34" s="23">
        <f>LOOKUP($Z34,Lookups!$B$34:$B$55,Lookups!$D$34:$D$55)</f>
        <v>0.01</v>
      </c>
    </row>
    <row r="35" spans="2:43" x14ac:dyDescent="0.25">
      <c r="B35" s="13" t="s">
        <v>34</v>
      </c>
      <c r="C35" s="206" t="s">
        <v>0</v>
      </c>
      <c r="D35" s="207"/>
      <c r="E35" s="206" t="s">
        <v>1</v>
      </c>
      <c r="F35" s="207"/>
      <c r="G35" s="206" t="s">
        <v>2</v>
      </c>
      <c r="H35" s="207"/>
      <c r="I35" s="206" t="s">
        <v>3</v>
      </c>
      <c r="J35" s="207"/>
      <c r="K35" s="206" t="s">
        <v>4</v>
      </c>
      <c r="L35" s="207"/>
      <c r="M35" s="206" t="s">
        <v>16</v>
      </c>
      <c r="N35" s="207"/>
      <c r="O35" s="206" t="s">
        <v>17</v>
      </c>
      <c r="P35" s="207"/>
      <c r="S35" s="35"/>
      <c r="V35" s="21">
        <f>Receiving!D19</f>
        <v>1562500</v>
      </c>
      <c r="W35" s="22">
        <f>LOOKUP($V35,Lookups!$B$34:$B$55,Lookups!$E$34:$E$55)</f>
        <v>0.4</v>
      </c>
      <c r="X35" s="23">
        <f>LOOKUP($V35,Lookups!$B$34:$B$55,Lookups!$F$34:$F$55)</f>
        <v>0.01</v>
      </c>
      <c r="Z35" s="21">
        <f>Receiving!K19</f>
        <v>3125000</v>
      </c>
      <c r="AA35" s="22">
        <f>LOOKUP($Z35,Lookups!$B$34:$B$55,Lookups!$E$34:$E$55)</f>
        <v>0.4</v>
      </c>
      <c r="AB35" s="23">
        <f>LOOKUP($Z35,Lookups!$B$34:$B$55,Lookups!$F$34:$F$55)</f>
        <v>0.01</v>
      </c>
    </row>
    <row r="36" spans="2:43" x14ac:dyDescent="0.25">
      <c r="B36" s="18">
        <v>0</v>
      </c>
      <c r="C36" s="20">
        <f><![CDATA[IF($D$33<=3,Lookups!$C6,IF(D$33<=4,Lookups!$E6,IF(D$33<=5,Lookups!$G6,IF(D$33<=10,$I6,IF(D$33<=15,Lookups!$K6,IF(D$33<=20,Lookups!$M6,Lookups!$O6))))))]]></f>
        <v>0.25</v>
      </c>
      <c r="D36" s="36">
        <f><![CDATA[IF(D$33<=3,Lookups!$D6,IF(D$33<=4,Lookups!$F6,IF(D$33<=5,Lookups!$H6,IF(D$33<=10,$J6,IF(D$33<=15,Lookups!$L6,IF(D$33<=20,Lookups!$N6,Lookups!$P6))))))]]></f>
        <v>0</v>
      </c>
      <c r="E36" s="20">
        <f><![CDATA[IF($F$33<=3,Lookups!$C6,IF(F$33<=4,Lookups!$E6,IF(F$33<=5,Lookups!$G6,IF(F$33<=10,$I6,IF(F$33<=15,Lookups!$K6,IF(F$33<=20,Lookups!$M6,Lookups!$O6))))))]]></f>
        <v>0.25</v>
      </c>
      <c r="F36" s="36">
        <f><![CDATA[IF(F$33<=3,Lookups!$D6,IF(F$33<=4,Lookups!$F6,IF(F$33<=5,Lookups!$H6,IF(F$33<=10,$J6,IF(F$33<=15,Lookups!$L6,IF(F$33<=20,Lookups!$N6,Lookups!$P6))))))]]></f>
        <v>0</v>
      </c>
      <c r="G36" s="20">
        <f><![CDATA[IF($H$33<=3,Lookups!$C6,IF(H$33<=4,Lookups!$E6,IF(H$33<=5,Lookups!$G6,IF(H$33<=10,$I6,IF(H$33<=15,Lookups!$K6,IF(H$33<=20,Lookups!$M6,Lookups!$O6))))))]]></f>
        <v>0.25</v>
      </c>
      <c r="H36" s="36">
        <f><![CDATA[IF(H$33<=3,Lookups!$D6,IF(H$33<=4,Lookups!$F6,IF(H$33<=5,Lookups!$H6,IF(H$33<=10,$J6,IF(H$33<=15,Lookups!$L6,IF(H$33<=20,Lookups!$N6,Lookups!$P6))))))]]></f>
        <v>0</v>
      </c>
      <c r="I36" s="20">
        <f><![CDATA[IF($J$33<=3,Lookups!$C6,IF(J$33<=4,Lookups!$E6,IF(J$33<=5,Lookups!$G6,IF(J$33<=10,$I6,IF(J$33<=15,Lookups!$K6,IF(J$33<=20,Lookups!$M6,Lookups!$O6))))))]]></f>
        <v>0.25</v>
      </c>
      <c r="J36" s="36">
        <f><![CDATA[IF(J$33<=3,Lookups!$D6,IF(J$33<=4,Lookups!$F6,IF(J$33<=5,Lookups!$H6,IF(J$33<=10,$J6,IF(J$33<=15,Lookups!$L6,IF(J$33<=20,Lookups!$N6,Lookups!$P6))))))]]></f>
        <v>0</v>
      </c>
      <c r="K36" s="20">
        <f><![CDATA[IF($L$33<=3,Lookups!$C6,IF(L$33<=4,Lookups!$E6,IF(L$33<=5,Lookups!$G6,IF(L$33<=10,$I6,IF(L$33<=15,Lookups!$K6,IF(L$33<=20,Lookups!$M6,Lookups!$O6))))))]]></f>
        <v>0.25</v>
      </c>
      <c r="L36" s="36">
        <f><![CDATA[IF(L$33<=3,Lookups!$D6,IF(L$33<=4,Lookups!$F6,IF(L$33<=5,Lookups!$H6,IF(L$33<=10,$J6,IF(L$33<=15,Lookups!$L6,IF(L$33<=20,Lookups!$N6,Lookups!$P6))))))]]></f>
        <v>0</v>
      </c>
      <c r="M36" s="20">
        <f><![CDATA[IF($N$33<=3,Lookups!$C6,IF(N$33<=4,Lookups!$E6,IF(N$33<=5,Lookups!$G6,IF(N$33<=10,$I6,IF(N$33<=15,Lookups!$K6,IF(N$33<=20,Lookups!$M6,Lookups!$O6))))))]]></f>
        <v>0.25</v>
      </c>
      <c r="N36" s="36">
        <f><![CDATA[IF(N$33<=3,Lookups!$D6,IF(N$33<=4,Lookups!$F6,IF(N$33<=5,Lookups!$H6,IF(N$33<=10,$J6,IF(N$33<=15,Lookups!$L6,IF(N$33<=20,Lookups!$N6,Lookups!$P6))))))]]></f>
        <v>0</v>
      </c>
      <c r="O36" s="20">
        <f><![CDATA[IF($P$33<=3,Lookups!$C6,IF(P$33<=4,Lookups!$E6,IF(P$33<=5,Lookups!$G6,IF(P$33<=10,$I6,IF(P$33<=15,Lookups!$K6,IF(P$33<=20,Lookups!$M6,Lookups!$O6))))))]]></f>
        <v>0.25</v>
      </c>
      <c r="P36" s="36">
        <f><![CDATA[IF(P$33<=3,Lookups!$D6,IF(P$33<=4,Lookups!$F6,IF(P$33<=5,Lookups!$H6,IF(P$33<=10,$J6,IF(P$33<=15,Lookups!$L6,IF(P$33<=20,Lookups!$N6,Lookups!$P6))))))]]></f>
        <v>0</v>
      </c>
      <c r="S36" s="35"/>
      <c r="V36" s="21">
        <f>Receiving!D20</f>
        <v>1953125</v>
      </c>
      <c r="W36" s="22">
        <f>LOOKUP($V36,Lookups!$B$34:$B$55,Lookups!$G$34:$G$55)</f>
        <v>0.4</v>
      </c>
      <c r="X36" s="23">
        <f>LOOKUP($V36,Lookups!$B$34:$B$55,Lookups!$H$34:$H$55)</f>
        <v>0.01</v>
      </c>
      <c r="Z36" s="21">
        <f>Receiving!K20</f>
        <v>3906250</v>
      </c>
      <c r="AA36" s="22">
        <f>LOOKUP($Z36,Lookups!$B$34:$B$55,Lookups!$G$34:$G$55)</f>
        <v>0.4</v>
      </c>
      <c r="AB36" s="23">
        <f>LOOKUP($Z36,Lookups!$B$34:$B$55,Lookups!$H$34:$H$55)</f>
        <v>0.01</v>
      </c>
    </row>
    <row r="37" spans="2:43" x14ac:dyDescent="0.25">
      <c r="B37" s="18">
        <v>100000</v>
      </c>
      <c r="C37" s="20">
        <f><![CDATA[IF($D$33<=3,Lookups!$C7,IF(D$33<=4,Lookups!$E7,IF(D$33<=5,Lookups!$G7,IF(D$33<=10,$I7,IF(D$33<=15,Lookups!$K7,IF(D$33<=20,Lookups!$M7,Lookups!$O7))))))]]></f>
        <v>0.4</v>
      </c>
      <c r="D37" s="36">
        <f><![CDATA[IF(D$33<=3,Lookups!$D7,IF(D$33<=4,Lookups!$F7,IF(D$33<=5,Lookups!$H7,IF(D$33<=10,$J7,IF(D$33<=15,Lookups!$L7,IF(D$33<=20,Lookups!$N7,Lookups!$P7))))))]]></f>
        <v>0</v>
      </c>
      <c r="E37" s="20">
        <f><![CDATA[IF($F$33<=3,Lookups!$C7,IF(F$33<=4,Lookups!$E7,IF(F$33<=5,Lookups!$G7,IF(F$33<=10,$I7,IF(F$33<=15,Lookups!$K7,IF(F$33<=20,Lookups!$M7,Lookups!$O7))))))]]></f>
        <v>0.2</v>
      </c>
      <c r="F37" s="36">
        <f><![CDATA[IF(F$33<=3,Lookups!$D7,IF(F$33<=4,Lookups!$F7,IF(F$33<=5,Lookups!$H7,IF(F$33<=10,$J7,IF(F$33<=15,Lookups!$L7,IF(F$33<=20,Lookups!$N7,Lookups!$P7))))))]]></f>
        <v>0</v>
      </c>
      <c r="G37" s="20">
        <f><![CDATA[IF($H$33<=3,Lookups!$C7,IF(H$33<=4,Lookups!$E7,IF(H$33<=5,Lookups!$G7,IF(H$33<=10,$I7,IF(H$33<=15,Lookups!$K7,IF(H$33<=20,Lookups!$M7,Lookups!$O7))))))]]></f>
        <v>0.2</v>
      </c>
      <c r="H37" s="36">
        <f><![CDATA[IF(H$33<=3,Lookups!$D7,IF(H$33<=4,Lookups!$F7,IF(H$33<=5,Lookups!$H7,IF(H$33<=10,$J7,IF(H$33<=15,Lookups!$L7,IF(H$33<=20,Lookups!$N7,Lookups!$P7))))))]]></f>
        <v>0</v>
      </c>
      <c r="I37" s="20">
        <f><![CDATA[IF($J$33<=3,Lookups!$C7,IF(J$33<=4,Lookups!$E7,IF(J$33<=5,Lookups!$G7,IF(J$33<=10,$I7,IF(J$33<=15,Lookups!$K7,IF(J$33<=20,Lookups!$M7,Lookups!$O7))))))]]></f>
        <v>0.2</v>
      </c>
      <c r="J37" s="36">
        <f><![CDATA[IF(J$33<=3,Lookups!$D7,IF(J$33<=4,Lookups!$F7,IF(J$33<=5,Lookups!$H7,IF(J$33<=10,$J7,IF(J$33<=15,Lookups!$L7,IF(J$33<=20,Lookups!$N7,Lookups!$P7))))))]]></f>
        <v>0</v>
      </c>
      <c r="K37" s="20">
        <f><![CDATA[IF($L$33<=3,Lookups!$C7,IF(L$33<=4,Lookups!$E7,IF(L$33<=5,Lookups!$G7,IF(L$33<=10,$I7,IF(L$33<=15,Lookups!$K7,IF(L$33<=20,Lookups!$M7,Lookups!$O7))))))]]></f>
        <v>0.2</v>
      </c>
      <c r="L37" s="36">
        <f><![CDATA[IF(L$33<=3,Lookups!$D7,IF(L$33<=4,Lookups!$F7,IF(L$33<=5,Lookups!$H7,IF(L$33<=10,$J7,IF(L$33<=15,Lookups!$L7,IF(L$33<=20,Lookups!$N7,Lookups!$P7))))))]]></f>
        <v>0</v>
      </c>
      <c r="M37" s="20">
        <f><![CDATA[IF($N$33<=3,Lookups!$C7,IF(N$33<=4,Lookups!$E7,IF(N$33<=5,Lookups!$G7,IF(N$33<=10,$I7,IF(N$33<=15,Lookups!$K7,IF(N$33<=20,Lookups!$M7,Lookups!$O7))))))]]></f>
        <v>0.2</v>
      </c>
      <c r="N37" s="36">
        <f><![CDATA[IF(N$33<=3,Lookups!$D7,IF(N$33<=4,Lookups!$F7,IF(N$33<=5,Lookups!$H7,IF(N$33<=10,$J7,IF(N$33<=15,Lookups!$L7,IF(N$33<=20,Lookups!$N7,Lookups!$P7))))))]]></f>
        <v>0</v>
      </c>
      <c r="O37" s="20">
        <f><![CDATA[IF($P$33<=3,Lookups!$C7,IF(P$33<=4,Lookups!$E7,IF(P$33<=5,Lookups!$G7,IF(P$33<=10,$I7,IF(P$33<=15,Lookups!$K7,IF(P$33<=20,Lookups!$M7,Lookups!$O7))))))]]></f>
        <v>0.2</v>
      </c>
      <c r="P37" s="36">
        <f><![CDATA[IF(P$33<=3,Lookups!$D7,IF(P$33<=4,Lookups!$F7,IF(P$33<=5,Lookups!$H7,IF(P$33<=10,$J7,IF(P$33<=15,Lookups!$L7,IF(P$33<=20,Lookups!$N7,Lookups!$P7))))))]]></f>
        <v>0</v>
      </c>
      <c r="S37" s="35"/>
      <c r="V37" s="21">
        <f>Receiving!D21</f>
        <v>2441406.25</v>
      </c>
      <c r="W37" s="22">
        <f>LOOKUP($V37,Lookups!$B$34:$B$55,Lookups!$I$34:$I$55)</f>
        <v>0.4</v>
      </c>
      <c r="X37" s="23">
        <f>LOOKUP($V37,Lookups!$B$34:$B$55,Lookups!$J$34:$J$55)</f>
        <v>0.01</v>
      </c>
      <c r="Z37" s="21">
        <f>Receiving!K21</f>
        <v>4882812.5</v>
      </c>
      <c r="AA37" s="22">
        <f>LOOKUP($Z37,Lookups!$B$34:$B$55,Lookups!$I$34:$I$55)</f>
        <v>0.4</v>
      </c>
      <c r="AB37" s="23">
        <f>LOOKUP($Z37,Lookups!$B$34:$B$55,Lookups!$J$34:$J$55)</f>
        <v>0.01</v>
      </c>
    </row>
    <row r="38" spans="2:43" x14ac:dyDescent="0.25">
      <c r="B38" s="18">
        <v>200000</v>
      </c>
      <c r="C38" s="20">
        <f><![CDATA[IF($D$33<=3,Lookups!$C8,IF(D$33<=4,Lookups!$E8,IF(D$33<=5,Lookups!$G8,IF(D$33<=10,$I8,IF(D$33<=15,Lookups!$K8,IF(D$33<=20,Lookups!$M8,Lookups!$O8))))))]]></f>
        <v>0.4</v>
      </c>
      <c r="D38" s="36">
        <f><![CDATA[IF(D$33<=3,Lookups!$D8,IF(D$33<=4,Lookups!$F8,IF(D$33<=5,Lookups!$H8,IF(D$33<=10,$J8,IF(D$33<=15,Lookups!$L8,IF(D$33<=20,Lookups!$N8,Lookups!$P8))))))]]></f>
        <v>0</v>
      </c>
      <c r="E38" s="20">
        <f><![CDATA[IF($F$33<=3,Lookups!$C8,IF(F$33<=4,Lookups!$E8,IF(F$33<=5,Lookups!$G8,IF(F$33<=10,$I8,IF(F$33<=15,Lookups!$K8,IF(F$33<=20,Lookups!$M8,Lookups!$O8))))))]]></f>
        <v>0.2</v>
      </c>
      <c r="F38" s="36">
        <f><![CDATA[IF(F$33<=3,Lookups!$D8,IF(F$33<=4,Lookups!$F8,IF(F$33<=5,Lookups!$H8,IF(F$33<=10,$J8,IF(F$33<=15,Lookups!$L8,IF(F$33<=20,Lookups!$N8,Lookups!$P8))))))]]></f>
        <v>0</v>
      </c>
      <c r="G38" s="20">
        <f><![CDATA[IF($H$33<=3,Lookups!$C8,IF(H$33<=4,Lookups!$E8,IF(H$33<=5,Lookups!$G8,IF(H$33<=10,$I8,IF(H$33<=15,Lookups!$K8,IF(H$33<=20,Lookups!$M8,Lookups!$O8))))))]]></f>
        <v>0.2</v>
      </c>
      <c r="H38" s="36">
        <f><![CDATA[IF(H$33<=3,Lookups!$D8,IF(H$33<=4,Lookups!$F8,IF(H$33<=5,Lookups!$H8,IF(H$33<=10,$J8,IF(H$33<=15,Lookups!$L8,IF(H$33<=20,Lookups!$N8,Lookups!$P8))))))]]></f>
        <v>0</v>
      </c>
      <c r="I38" s="20">
        <f><![CDATA[IF($J$33<=3,Lookups!$C8,IF(J$33<=4,Lookups!$E8,IF(J$33<=5,Lookups!$G8,IF(J$33<=10,$I8,IF(J$33<=15,Lookups!$K8,IF(J$33<=20,Lookups!$M8,Lookups!$O8))))))]]></f>
        <v>0.2</v>
      </c>
      <c r="J38" s="36">
        <f><![CDATA[IF(J$33<=3,Lookups!$D8,IF(J$33<=4,Lookups!$F8,IF(J$33<=5,Lookups!$H8,IF(J$33<=10,$J8,IF(J$33<=15,Lookups!$L8,IF(J$33<=20,Lookups!$N8,Lookups!$P8))))))]]></f>
        <v>0</v>
      </c>
      <c r="K38" s="20">
        <f><![CDATA[IF($L$33<=3,Lookups!$C8,IF(L$33<=4,Lookups!$E8,IF(L$33<=5,Lookups!$G8,IF(L$33<=10,$I8,IF(L$33<=15,Lookups!$K8,IF(L$33<=20,Lookups!$M8,Lookups!$O8))))))]]></f>
        <v>0.2</v>
      </c>
      <c r="L38" s="36">
        <f><![CDATA[IF(L$33<=3,Lookups!$D8,IF(L$33<=4,Lookups!$F8,IF(L$33<=5,Lookups!$H8,IF(L$33<=10,$J8,IF(L$33<=15,Lookups!$L8,IF(L$33<=20,Lookups!$N8,Lookups!$P8))))))]]></f>
        <v>0</v>
      </c>
      <c r="M38" s="20">
        <f><![CDATA[IF($N$33<=3,Lookups!$C8,IF(N$33<=4,Lookups!$E8,IF(N$33<=5,Lookups!$G8,IF(N$33<=10,$I8,IF(N$33<=15,Lookups!$K8,IF(N$33<=20,Lookups!$M8,Lookups!$O8))))))]]></f>
        <v>0.2</v>
      </c>
      <c r="N38" s="36">
        <f><![CDATA[IF(N$33<=3,Lookups!$D8,IF(N$33<=4,Lookups!$F8,IF(N$33<=5,Lookups!$H8,IF(N$33<=10,$J8,IF(N$33<=15,Lookups!$L8,IF(N$33<=20,Lookups!$N8,Lookups!$P8))))))]]></f>
        <v>0</v>
      </c>
      <c r="O38" s="20">
        <f><![CDATA[IF($P$33<=3,Lookups!$C8,IF(P$33<=4,Lookups!$E8,IF(P$33<=5,Lookups!$G8,IF(P$33<=10,$I8,IF(P$33<=15,Lookups!$K8,IF(P$33<=20,Lookups!$M8,Lookups!$O8))))))]]></f>
        <v>0.2</v>
      </c>
      <c r="P38" s="36">
        <f><![CDATA[IF(P$33<=3,Lookups!$D8,IF(P$33<=4,Lookups!$F8,IF(P$33<=5,Lookups!$H8,IF(P$33<=10,$J8,IF(P$33<=15,Lookups!$L8,IF(P$33<=20,Lookups!$N8,Lookups!$P8))))))]]></f>
        <v>0</v>
      </c>
      <c r="S38" s="35"/>
      <c r="V38" s="21">
        <f>Receiving!D22</f>
        <v>3051757.8125</v>
      </c>
      <c r="W38" s="22">
        <f>LOOKUP($V38,Lookups!$B$34:$B$55,Lookups!$K$34:$K$55)</f>
        <v>0.4</v>
      </c>
      <c r="X38" s="23">
        <f>LOOKUP($V38,Lookups!$B$34:$B$55,Lookups!$L$34:$L$55)</f>
        <v>0.01</v>
      </c>
      <c r="Z38" s="21">
        <f>Receiving!K22</f>
        <v>6103515.625</v>
      </c>
      <c r="AA38" s="22">
        <f>LOOKUP($Z38,Lookups!$B$34:$B$55,Lookups!$K$34:$K$55)</f>
        <v>0.4</v>
      </c>
      <c r="AB38" s="23">
        <f>LOOKUP($Z38,Lookups!$B$34:$B$55,Lookups!$L$34:$L$55)</f>
        <v>0.01</v>
      </c>
    </row>
    <row r="39" spans="2:43" x14ac:dyDescent="0.25">
      <c r="B39" s="18">
        <v>300000</v>
      </c>
      <c r="C39" s="20">
        <f><![CDATA[IF($D$33<=3,Lookups!$C9,IF(D$33<=4,Lookups!$E9,IF(D$33<=5,Lookups!$G9,IF(D$33<=10,$I9,IF(D$33<=15,Lookups!$K9,IF(D$33<=20,Lookups!$M9,Lookups!$O9))))))]]></f>
        <v>0.4</v>
      </c>
      <c r="D39" s="36">
        <f><![CDATA[IF(D$33<=3,Lookups!$D9,IF(D$33<=4,Lookups!$F9,IF(D$33<=5,Lookups!$H9,IF(D$33<=10,$J9,IF(D$33<=15,Lookups!$L9,IF(D$33<=20,Lookups!$N9,Lookups!$P9))))))]]></f>
        <v>0</v>
      </c>
      <c r="E39" s="20">
        <f><![CDATA[IF($F$33<=3,Lookups!$C9,IF(F$33<=4,Lookups!$E9,IF(F$33<=5,Lookups!$G9,IF(F$33<=10,$I9,IF(F$33<=15,Lookups!$K9,IF(F$33<=20,Lookups!$M9,Lookups!$O9))))))]]></f>
        <v>0.2</v>
      </c>
      <c r="F39" s="36">
        <f><![CDATA[IF(F$33<=3,Lookups!$D9,IF(F$33<=4,Lookups!$F9,IF(F$33<=5,Lookups!$H9,IF(F$33<=10,$J9,IF(F$33<=15,Lookups!$L9,IF(F$33<=20,Lookups!$N9,Lookups!$P9))))))]]></f>
        <v>0</v>
      </c>
      <c r="G39" s="20">
        <f><![CDATA[IF($H$33<=3,Lookups!$C9,IF(H$33<=4,Lookups!$E9,IF(H$33<=5,Lookups!$G9,IF(H$33<=10,$I9,IF(H$33<=15,Lookups!$K9,IF(H$33<=20,Lookups!$M9,Lookups!$O9))))))]]></f>
        <v>0.2</v>
      </c>
      <c r="H39" s="36">
        <f><![CDATA[IF(H$33<=3,Lookups!$D9,IF(H$33<=4,Lookups!$F9,IF(H$33<=5,Lookups!$H9,IF(H$33<=10,$J9,IF(H$33<=15,Lookups!$L9,IF(H$33<=20,Lookups!$N9,Lookups!$P9))))))]]></f>
        <v>0</v>
      </c>
      <c r="I39" s="20">
        <f><![CDATA[IF($J$33<=3,Lookups!$C9,IF(J$33<=4,Lookups!$E9,IF(J$33<=5,Lookups!$G9,IF(J$33<=10,$I9,IF(J$33<=15,Lookups!$K9,IF(J$33<=20,Lookups!$M9,Lookups!$O9))))))]]></f>
        <v>0.2</v>
      </c>
      <c r="J39" s="36">
        <f><![CDATA[IF(J$33<=3,Lookups!$D9,IF(J$33<=4,Lookups!$F9,IF(J$33<=5,Lookups!$H9,IF(J$33<=10,$J9,IF(J$33<=15,Lookups!$L9,IF(J$33<=20,Lookups!$N9,Lookups!$P9))))))]]></f>
        <v>0</v>
      </c>
      <c r="K39" s="20">
        <f><![CDATA[IF($L$33<=3,Lookups!$C9,IF(L$33<=4,Lookups!$E9,IF(L$33<=5,Lookups!$G9,IF(L$33<=10,$I9,IF(L$33<=15,Lookups!$K9,IF(L$33<=20,Lookups!$M9,Lookups!$O9))))))]]></f>
        <v>0.2</v>
      </c>
      <c r="L39" s="36">
        <f><![CDATA[IF(L$33<=3,Lookups!$D9,IF(L$33<=4,Lookups!$F9,IF(L$33<=5,Lookups!$H9,IF(L$33<=10,$J9,IF(L$33<=15,Lookups!$L9,IF(L$33<=20,Lookups!$N9,Lookups!$P9))))))]]></f>
        <v>0</v>
      </c>
      <c r="M39" s="20">
        <f><![CDATA[IF($N$33<=3,Lookups!$C9,IF(N$33<=4,Lookups!$E9,IF(N$33<=5,Lookups!$G9,IF(N$33<=10,$I9,IF(N$33<=15,Lookups!$K9,IF(N$33<=20,Lookups!$M9,Lookups!$O9))))))]]></f>
        <v>0.2</v>
      </c>
      <c r="N39" s="36">
        <f><![CDATA[IF(N$33<=3,Lookups!$D9,IF(N$33<=4,Lookups!$F9,IF(N$33<=5,Lookups!$H9,IF(N$33<=10,$J9,IF(N$33<=15,Lookups!$L9,IF(N$33<=20,Lookups!$N9,Lookups!$P9))))))]]></f>
        <v>0</v>
      </c>
      <c r="O39" s="20">
        <f><![CDATA[IF($P$33<=3,Lookups!$C9,IF(P$33<=4,Lookups!$E9,IF(P$33<=5,Lookups!$G9,IF(P$33<=10,$I9,IF(P$33<=15,Lookups!$K9,IF(P$33<=20,Lookups!$M9,Lookups!$O9))))))]]></f>
        <v>0.2</v>
      </c>
      <c r="P39" s="36">
        <f><![CDATA[IF(P$33<=3,Lookups!$D9,IF(P$33<=4,Lookups!$F9,IF(P$33<=5,Lookups!$H9,IF(P$33<=10,$J9,IF(P$33<=15,Lookups!$L9,IF(P$33<=20,Lookups!$N9,Lookups!$P9))))))]]></f>
        <v>0</v>
      </c>
      <c r="V39" s="21">
        <f>Receiving!D23</f>
        <v>3814697.265625</v>
      </c>
      <c r="W39" s="22">
        <f>LOOKUP($V39,Lookups!$B$34:$B$55,Lookups!$M$34:$M$55)</f>
        <v>0.4</v>
      </c>
      <c r="X39" s="23">
        <f>LOOKUP($V39,Lookups!$B$34:$B$55,Lookups!$N$34:$N$55)</f>
        <v>0.01</v>
      </c>
      <c r="Z39" s="21">
        <f>Receiving!K23</f>
        <v>7629394.53125</v>
      </c>
      <c r="AA39" s="22">
        <f>LOOKUP($Z39,Lookups!$B$34:$B$55,Lookups!$M$34:$M$55)</f>
        <v>0.4</v>
      </c>
      <c r="AB39" s="23">
        <f>LOOKUP($Z39,Lookups!$B$34:$B$55,Lookups!$N$34:$N$55)</f>
        <v>0.01</v>
      </c>
    </row>
    <row r="40" spans="2:43" x14ac:dyDescent="0.25">
      <c r="B40" s="18">
        <v>400000</v>
      </c>
      <c r="C40" s="20">
        <f><![CDATA[IF($D$33<=3,Lookups!$C10,IF(D$33<=4,Lookups!$E10,IF(D$33<=5,Lookups!$G10,IF(D$33<=10,$I10,IF(D$33<=15,Lookups!$K10,IF(D$33<=20,Lookups!$M10,Lookups!$O10))))))]]></f>
        <v>0.4</v>
      </c>
      <c r="D40" s="36">
        <f><![CDATA[IF(D$33<=3,Lookups!$D10,IF(D$33<=4,Lookups!$F10,IF(D$33<=5,Lookups!$H10,IF(D$33<=10,$J10,IF(D$33<=15,Lookups!$L10,IF(D$33<=20,Lookups!$N10,Lookups!$P10))))))]]></f>
        <v>0</v>
      </c>
      <c r="E40" s="20">
        <f><![CDATA[IF($F$33<=3,Lookups!$C10,IF(F$33<=4,Lookups!$E10,IF(F$33<=5,Lookups!$G10,IF(F$33<=10,$I10,IF(F$33<=15,Lookups!$K10,IF(F$33<=20,Lookups!$M10,Lookups!$O10))))))]]></f>
        <v>0.2</v>
      </c>
      <c r="F40" s="36">
        <f><![CDATA[IF(F$33<=3,Lookups!$D10,IF(F$33<=4,Lookups!$F10,IF(F$33<=5,Lookups!$H10,IF(F$33<=10,$J10,IF(F$33<=15,Lookups!$L10,IF(F$33<=20,Lookups!$N10,Lookups!$P10))))))]]></f>
        <v>0</v>
      </c>
      <c r="G40" s="20">
        <f><![CDATA[IF($H$33<=3,Lookups!$C10,IF(H$33<=4,Lookups!$E10,IF(H$33<=5,Lookups!$G10,IF(H$33<=10,$I10,IF(H$33<=15,Lookups!$K10,IF(H$33<=20,Lookups!$M10,Lookups!$O10))))))]]></f>
        <v>0.2</v>
      </c>
      <c r="H40" s="36">
        <f><![CDATA[IF(H$33<=3,Lookups!$D10,IF(H$33<=4,Lookups!$F10,IF(H$33<=5,Lookups!$H10,IF(H$33<=10,$J10,IF(H$33<=15,Lookups!$L10,IF(H$33<=20,Lookups!$N10,Lookups!$P10))))))]]></f>
        <v>0</v>
      </c>
      <c r="I40" s="20">
        <f><![CDATA[IF($J$33<=3,Lookups!$C10,IF(J$33<=4,Lookups!$E10,IF(J$33<=5,Lookups!$G10,IF(J$33<=10,$I10,IF(J$33<=15,Lookups!$K10,IF(J$33<=20,Lookups!$M10,Lookups!$O10))))))]]></f>
        <v>0.2</v>
      </c>
      <c r="J40" s="36">
        <f><![CDATA[IF(J$33<=3,Lookups!$D10,IF(J$33<=4,Lookups!$F10,IF(J$33<=5,Lookups!$H10,IF(J$33<=10,$J10,IF(J$33<=15,Lookups!$L10,IF(J$33<=20,Lookups!$N10,Lookups!$P10))))))]]></f>
        <v>0</v>
      </c>
      <c r="K40" s="20">
        <f><![CDATA[IF($L$33<=3,Lookups!$C10,IF(L$33<=4,Lookups!$E10,IF(L$33<=5,Lookups!$G10,IF(L$33<=10,$I10,IF(L$33<=15,Lookups!$K10,IF(L$33<=20,Lookups!$M10,Lookups!$O10))))))]]></f>
        <v>0.2</v>
      </c>
      <c r="L40" s="36">
        <f><![CDATA[IF(L$33<=3,Lookups!$D10,IF(L$33<=4,Lookups!$F10,IF(L$33<=5,Lookups!$H10,IF(L$33<=10,$J10,IF(L$33<=15,Lookups!$L10,IF(L$33<=20,Lookups!$N10,Lookups!$P10))))))]]></f>
        <v>0</v>
      </c>
      <c r="M40" s="20">
        <f><![CDATA[IF($N$33<=3,Lookups!$C10,IF(N$33<=4,Lookups!$E10,IF(N$33<=5,Lookups!$G10,IF(N$33<=10,$I10,IF(N$33<=15,Lookups!$K10,IF(N$33<=20,Lookups!$M10,Lookups!$O10))))))]]></f>
        <v>0.2</v>
      </c>
      <c r="N40" s="36">
        <f><![CDATA[IF(N$33<=3,Lookups!$D10,IF(N$33<=4,Lookups!$F10,IF(N$33<=5,Lookups!$H10,IF(N$33<=10,$J10,IF(N$33<=15,Lookups!$L10,IF(N$33<=20,Lookups!$N10,Lookups!$P10))))))]]></f>
        <v>0</v>
      </c>
      <c r="O40" s="20">
        <f><![CDATA[IF($P$33<=3,Lookups!$C10,IF(P$33<=4,Lookups!$E10,IF(P$33<=5,Lookups!$G10,IF(P$33<=10,$I10,IF(P$33<=15,Lookups!$K10,IF(P$33<=20,Lookups!$M10,Lookups!$O10))))))]]></f>
        <v>0.2</v>
      </c>
      <c r="P40" s="36">
        <f><![CDATA[IF(P$33<=3,Lookups!$D10,IF(P$33<=4,Lookups!$F10,IF(P$33<=5,Lookups!$H10,IF(P$33<=10,$J10,IF(P$33<=15,Lookups!$L10,IF(P$33<=20,Lookups!$N10,Lookups!$P10))))))]]></f>
        <v>0</v>
      </c>
      <c r="V40" s="21">
        <f>Receiving!D23</f>
        <v>3814697.265625</v>
      </c>
      <c r="W40" s="22">
        <f>LOOKUP($V40,Lookups!$B$34:$B$55,Lookups!$O$34:$O$55)</f>
        <v>0.4</v>
      </c>
      <c r="X40" s="23">
        <f>LOOKUP($V40,Lookups!$B$34:$B$55,Lookups!$P$34:$P$55)</f>
        <v>0.01</v>
      </c>
      <c r="Z40" s="21">
        <f>Receiving!K24</f>
        <v>9536743.1640625</v>
      </c>
      <c r="AA40" s="22">
        <f>LOOKUP($Z40,Lookups!$B$34:$B$55,Lookups!$O$34:$O$55)</f>
        <v>0.4</v>
      </c>
      <c r="AB40" s="23">
        <f>LOOKUP($Z40,Lookups!$B$34:$B$55,Lookups!$P$34:$P$55)</f>
        <v>0.01</v>
      </c>
    </row>
    <row r="41" spans="2:43" ht="15" customHeight="1" x14ac:dyDescent="0.25">
      <c r="B41" s="18">
        <v>500000</v>
      </c>
      <c r="C41" s="20">
        <f><![CDATA[IF($D$33<=3,Lookups!$C11,IF(D$33<=4,Lookups!$E11,IF(D$33<=5,Lookups!$G11,IF(D$33<=10,$I11,IF(D$33<=15,Lookups!$K11,IF(D$33<=20,Lookups!$M11,Lookups!$O11))))))]]></f>
        <v>0.4</v>
      </c>
      <c r="D41" s="36">
        <f><![CDATA[IF(D$33<=3,Lookups!$D11,IF(D$33<=4,Lookups!$F11,IF(D$33<=5,Lookups!$H11,IF(D$33<=10,$J11,IF(D$33<=15,Lookups!$L11,IF(D$33<=20,Lookups!$N11,Lookups!$P11))))))]]></f>
        <v>0</v>
      </c>
      <c r="E41" s="20">
        <f><![CDATA[IF($F$33<=3,Lookups!$C11,IF(F$33<=4,Lookups!$E11,IF(F$33<=5,Lookups!$G11,IF(F$33<=10,$I11,IF(F$33<=15,Lookups!$K11,IF(F$33<=20,Lookups!$M11,Lookups!$O11))))))]]></f>
        <v>0.25</v>
      </c>
      <c r="F41" s="36">
        <f><![CDATA[IF(F$33<=3,Lookups!$D11,IF(F$33<=4,Lookups!$F11,IF(F$33<=5,Lookups!$H11,IF(F$33<=10,$J11,IF(F$33<=15,Lookups!$L11,IF(F$33<=20,Lookups!$N11,Lookups!$P11))))))]]></f>
        <v>0</v>
      </c>
      <c r="G41" s="20">
        <f><![CDATA[IF($H$33<=3,Lookups!$C11,IF(H$33<=4,Lookups!$E11,IF(H$33<=5,Lookups!$G11,IF(H$33<=10,$I11,IF(H$33<=15,Lookups!$K11,IF(H$33<=20,Lookups!$M11,Lookups!$O11))))))]]></f>
        <v>0.25</v>
      </c>
      <c r="H41" s="36">
        <f><![CDATA[IF(H$33<=3,Lookups!$D11,IF(H$33<=4,Lookups!$F11,IF(H$33<=5,Lookups!$H11,IF(H$33<=10,$J11,IF(H$33<=15,Lookups!$L11,IF(H$33<=20,Lookups!$N11,Lookups!$P11))))))]]></f>
        <v>0</v>
      </c>
      <c r="I41" s="20">
        <f><![CDATA[IF($J$33<=3,Lookups!$C11,IF(J$33<=4,Lookups!$E11,IF(J$33<=5,Lookups!$G11,IF(J$33<=10,$I11,IF(J$33<=15,Lookups!$K11,IF(J$33<=20,Lookups!$M11,Lookups!$O11))))))]]></f>
        <v>0.25</v>
      </c>
      <c r="J41" s="36">
        <f><![CDATA[IF(J$33<=3,Lookups!$D11,IF(J$33<=4,Lookups!$F11,IF(J$33<=5,Lookups!$H11,IF(J$33<=10,$J11,IF(J$33<=15,Lookups!$L11,IF(J$33<=20,Lookups!$N11,Lookups!$P11))))))]]></f>
        <v>0</v>
      </c>
      <c r="K41" s="20">
        <f><![CDATA[IF($L$33<=3,Lookups!$C11,IF(L$33<=4,Lookups!$E11,IF(L$33<=5,Lookups!$G11,IF(L$33<=10,$I11,IF(L$33<=15,Lookups!$K11,IF(L$33<=20,Lookups!$M11,Lookups!$O11))))))]]></f>
        <v>0.25</v>
      </c>
      <c r="L41" s="36">
        <f><![CDATA[IF(L$33<=3,Lookups!$D11,IF(L$33<=4,Lookups!$F11,IF(L$33<=5,Lookups!$H11,IF(L$33<=10,$J11,IF(L$33<=15,Lookups!$L11,IF(L$33<=20,Lookups!$N11,Lookups!$P11))))))]]></f>
        <v>0</v>
      </c>
      <c r="M41" s="20">
        <f><![CDATA[IF($N$33<=3,Lookups!$C11,IF(N$33<=4,Lookups!$E11,IF(N$33<=5,Lookups!$G11,IF(N$33<=10,$I11,IF(N$33<=15,Lookups!$K11,IF(N$33<=20,Lookups!$M11,Lookups!$O11))))))]]></f>
        <v>0.25</v>
      </c>
      <c r="N41" s="36">
        <f><![CDATA[IF(N$33<=3,Lookups!$D11,IF(N$33<=4,Lookups!$F11,IF(N$33<=5,Lookups!$H11,IF(N$33<=10,$J11,IF(N$33<=15,Lookups!$L11,IF(N$33<=20,Lookups!$N11,Lookups!$P11))))))]]></f>
        <v>0</v>
      </c>
      <c r="O41" s="20">
        <f><![CDATA[IF($P$33<=3,Lookups!$C11,IF(P$33<=4,Lookups!$E11,IF(P$33<=5,Lookups!$G11,IF(P$33<=10,$I11,IF(P$33<=15,Lookups!$K11,IF(P$33<=20,Lookups!$M11,Lookups!$O11))))))]]></f>
        <v>0.25</v>
      </c>
      <c r="P41" s="36">
        <f><![CDATA[IF(P$33<=3,Lookups!$D11,IF(P$33<=4,Lookups!$F11,IF(P$33<=5,Lookups!$H11,IF(P$33<=10,$J11,IF(P$33<=15,Lookups!$L11,IF(P$33<=20,Lookups!$N11,Lookups!$P11))))))]]></f>
        <v>0</v>
      </c>
      <c r="V41" s="2"/>
      <c r="W41" s="2"/>
      <c r="X41" s="2"/>
    </row>
    <row r="42" spans="2:43" ht="16.05" customHeight="1" x14ac:dyDescent="0.3">
      <c r="B42" s="18">
        <v>600000</v>
      </c>
      <c r="C42" s="20">
        <f><![CDATA[IF($D$33<=3,Lookups!$C12,IF(D$33<=4,Lookups!$E12,IF(D$33<=5,Lookups!$G12,IF(D$33<=10,$I12,IF(D$33<=15,Lookups!$K12,IF(D$33<=20,Lookups!$M12,Lookups!$O12))))))]]></f>
        <v>0.4</v>
      </c>
      <c r="D42" s="36">
        <f><![CDATA[IF(D$33<=3,Lookups!$D12,IF(D$33<=4,Lookups!$F12,IF(D$33<=5,Lookups!$H12,IF(D$33<=10,$J12,IF(D$33<=15,Lookups!$L12,IF(D$33<=20,Lookups!$N12,Lookups!$P12))))))]]></f>
        <v>0</v>
      </c>
      <c r="E42" s="20">
        <f><![CDATA[IF($F$33<=3,Lookups!$C12,IF(F$33<=4,Lookups!$E12,IF(F$33<=5,Lookups!$G12,IF(F$33<=10,$I12,IF(F$33<=15,Lookups!$K12,IF(F$33<=20,Lookups!$M12,Lookups!$O12))))))]]></f>
        <v>0.28000000000000003</v>
      </c>
      <c r="F42" s="36">
        <f><![CDATA[IF(F$33<=3,Lookups!$D12,IF(F$33<=4,Lookups!$F12,IF(F$33<=5,Lookups!$H12,IF(F$33<=10,$J12,IF(F$33<=15,Lookups!$L12,IF(F$33<=20,Lookups!$N12,Lookups!$P12))))))]]></f>
        <v>0</v>
      </c>
      <c r="G42" s="20">
        <f><![CDATA[IF($H$33<=3,Lookups!$C12,IF(H$33<=4,Lookups!$E12,IF(H$33<=5,Lookups!$G12,IF(H$33<=10,$I12,IF(H$33<=15,Lookups!$K12,IF(H$33<=20,Lookups!$M12,Lookups!$O12))))))]]></f>
        <v>0.28000000000000003</v>
      </c>
      <c r="H42" s="36">
        <f><![CDATA[IF(H$33<=3,Lookups!$D12,IF(H$33<=4,Lookups!$F12,IF(H$33<=5,Lookups!$H12,IF(H$33<=10,$J12,IF(H$33<=15,Lookups!$L12,IF(H$33<=20,Lookups!$N12,Lookups!$P12))))))]]></f>
        <v>0</v>
      </c>
      <c r="I42" s="20">
        <f><![CDATA[IF($J$33<=3,Lookups!$C12,IF(J$33<=4,Lookups!$E12,IF(J$33<=5,Lookups!$G12,IF(J$33<=10,$I12,IF(J$33<=15,Lookups!$K12,IF(J$33<=20,Lookups!$M12,Lookups!$O12))))))]]></f>
        <v>0.28000000000000003</v>
      </c>
      <c r="J42" s="36">
        <f><![CDATA[IF(J$33<=3,Lookups!$D12,IF(J$33<=4,Lookups!$F12,IF(J$33<=5,Lookups!$H12,IF(J$33<=10,$J12,IF(J$33<=15,Lookups!$L12,IF(J$33<=20,Lookups!$N12,Lookups!$P12))))))]]></f>
        <v>0</v>
      </c>
      <c r="K42" s="20">
        <f><![CDATA[IF($L$33<=3,Lookups!$C12,IF(L$33<=4,Lookups!$E12,IF(L$33<=5,Lookups!$G12,IF(L$33<=10,$I12,IF(L$33<=15,Lookups!$K12,IF(L$33<=20,Lookups!$M12,Lookups!$O12))))))]]></f>
        <v>0.28000000000000003</v>
      </c>
      <c r="L42" s="36">
        <f><![CDATA[IF(L$33<=3,Lookups!$D12,IF(L$33<=4,Lookups!$F12,IF(L$33<=5,Lookups!$H12,IF(L$33<=10,$J12,IF(L$33<=15,Lookups!$L12,IF(L$33<=20,Lookups!$N12,Lookups!$P12))))))]]></f>
        <v>0</v>
      </c>
      <c r="M42" s="20">
        <f><![CDATA[IF($N$33<=3,Lookups!$C12,IF(N$33<=4,Lookups!$E12,IF(N$33<=5,Lookups!$G12,IF(N$33<=10,$I12,IF(N$33<=15,Lookups!$K12,IF(N$33<=20,Lookups!$M12,Lookups!$O12))))))]]></f>
        <v>0.28000000000000003</v>
      </c>
      <c r="N42" s="36">
        <f><![CDATA[IF(N$33<=3,Lookups!$D12,IF(N$33<=4,Lookups!$F12,IF(N$33<=5,Lookups!$H12,IF(N$33<=10,$J12,IF(N$33<=15,Lookups!$L12,IF(N$33<=20,Lookups!$N12,Lookups!$P12))))))]]></f>
        <v>0</v>
      </c>
      <c r="O42" s="20">
        <f><![CDATA[IF($P$33<=3,Lookups!$C12,IF(P$33<=4,Lookups!$E12,IF(P$33<=5,Lookups!$G12,IF(P$33<=10,$I12,IF(P$33<=15,Lookups!$K12,IF(P$33<=20,Lookups!$M12,Lookups!$O12))))))]]></f>
        <v>0.28000000000000003</v>
      </c>
      <c r="P42" s="36">
        <f><![CDATA[IF(P$33<=3,Lookups!$D12,IF(P$33<=4,Lookups!$F12,IF(P$33<=5,Lookups!$H12,IF(P$33<=10,$J12,IF(P$33<=15,Lookups!$L12,IF(P$33<=20,Lookups!$N12,Lookups!$P12))))))]]></f>
        <v>0</v>
      </c>
      <c r="S42" s="35"/>
      <c r="V42" s="209" t="s">
        <v>50</v>
      </c>
      <c r="W42" s="210"/>
      <c r="X42" s="211"/>
      <c r="Y42" s="29"/>
      <c r="Z42" s="208" t="s">
        <v>50</v>
      </c>
      <c r="AA42" s="208"/>
      <c r="AB42" s="208"/>
    </row>
    <row r="43" spans="2:43" ht="18" customHeight="1" x14ac:dyDescent="0.25">
      <c r="B43" s="18">
        <v>700000</v>
      </c>
      <c r="C43" s="20">
        <f><![CDATA[IF($D$33<=3,Lookups!$C13,IF(D$33<=4,Lookups!$E13,IF(D$33<=5,Lookups!$G13,IF(D$33<=10,$I13,IF(D$33<=15,Lookups!$K13,IF(D$33<=20,Lookups!$M13,Lookups!$O13))))))]]></f>
        <v>0.4</v>
      </c>
      <c r="D43" s="36">
        <f><![CDATA[IF(D$33<=3,Lookups!$D13,IF(D$33<=4,Lookups!$F13,IF(D$33<=5,Lookups!$H13,IF(D$33<=10,$J13,IF(D$33<=15,Lookups!$L13,IF(D$33<=20,Lookups!$N13,Lookups!$P13))))))]]></f>
        <v>0</v>
      </c>
      <c r="E43" s="20">
        <f><![CDATA[IF($F$33<=3,Lookups!$C13,IF(F$33<=4,Lookups!$E13,IF(F$33<=5,Lookups!$G13,IF(F$33<=10,$I13,IF(F$33<=15,Lookups!$K13,IF(F$33<=20,Lookups!$M13,Lookups!$O13))))))]]></f>
        <v>0.34</v>
      </c>
      <c r="F43" s="36">
        <f><![CDATA[IF(F$33<=3,Lookups!$D13,IF(F$33<=4,Lookups!$F13,IF(F$33<=5,Lookups!$H13,IF(F$33<=10,$J13,IF(F$33<=15,Lookups!$L13,IF(F$33<=20,Lookups!$N13,Lookups!$P13))))))]]></f>
        <v>0</v>
      </c>
      <c r="G43" s="20">
        <f><![CDATA[IF($H$33<=3,Lookups!$C13,IF(H$33<=4,Lookups!$E13,IF(H$33<=5,Lookups!$G13,IF(H$33<=10,$I13,IF(H$33<=15,Lookups!$K13,IF(H$33<=20,Lookups!$M13,Lookups!$O13))))))]]></f>
        <v>0.34</v>
      </c>
      <c r="H43" s="36">
        <f><![CDATA[IF(H$33<=3,Lookups!$D13,IF(H$33<=4,Lookups!$F13,IF(H$33<=5,Lookups!$H13,IF(H$33<=10,$J13,IF(H$33<=15,Lookups!$L13,IF(H$33<=20,Lookups!$N13,Lookups!$P13))))))]]></f>
        <v>0</v>
      </c>
      <c r="I43" s="20">
        <f><![CDATA[IF($J$33<=3,Lookups!$C13,IF(J$33<=4,Lookups!$E13,IF(J$33<=5,Lookups!$G13,IF(J$33<=10,$I13,IF(J$33<=15,Lookups!$K13,IF(J$33<=20,Lookups!$M13,Lookups!$O13))))))]]></f>
        <v>0.34</v>
      </c>
      <c r="J43" s="36">
        <f><![CDATA[IF(J$33<=3,Lookups!$D13,IF(J$33<=4,Lookups!$F13,IF(J$33<=5,Lookups!$H13,IF(J$33<=10,$J13,IF(J$33<=15,Lookups!$L13,IF(J$33<=20,Lookups!$N13,Lookups!$P13))))))]]></f>
        <v>0</v>
      </c>
      <c r="K43" s="20">
        <f><![CDATA[IF($L$33<=3,Lookups!$C13,IF(L$33<=4,Lookups!$E13,IF(L$33<=5,Lookups!$G13,IF(L$33<=10,$I13,IF(L$33<=15,Lookups!$K13,IF(L$33<=20,Lookups!$M13,Lookups!$O13))))))]]></f>
        <v>0.34</v>
      </c>
      <c r="L43" s="36">
        <f><![CDATA[IF(L$33<=3,Lookups!$D13,IF(L$33<=4,Lookups!$F13,IF(L$33<=5,Lookups!$H13,IF(L$33<=10,$J13,IF(L$33<=15,Lookups!$L13,IF(L$33<=20,Lookups!$N13,Lookups!$P13))))))]]></f>
        <v>0</v>
      </c>
      <c r="M43" s="20">
        <f><![CDATA[IF($N$33<=3,Lookups!$C13,IF(N$33<=4,Lookups!$E13,IF(N$33<=5,Lookups!$G13,IF(N$33<=10,$I13,IF(N$33<=15,Lookups!$K13,IF(N$33<=20,Lookups!$M13,Lookups!$O13))))))]]></f>
        <v>0.34</v>
      </c>
      <c r="N43" s="36">
        <f><![CDATA[IF(N$33<=3,Lookups!$D13,IF(N$33<=4,Lookups!$F13,IF(N$33<=5,Lookups!$H13,IF(N$33<=10,$J13,IF(N$33<=15,Lookups!$L13,IF(N$33<=20,Lookups!$N13,Lookups!$P13))))))]]></f>
        <v>0</v>
      </c>
      <c r="O43" s="20">
        <f><![CDATA[IF($P$33<=3,Lookups!$C13,IF(P$33<=4,Lookups!$E13,IF(P$33<=5,Lookups!$G13,IF(P$33<=10,$I13,IF(P$33<=15,Lookups!$K13,IF(P$33<=20,Lookups!$M13,Lookups!$O13))))))]]></f>
        <v>0.34</v>
      </c>
      <c r="P43" s="36">
        <f><![CDATA[IF(P$33<=3,Lookups!$D13,IF(P$33<=4,Lookups!$F13,IF(P$33<=5,Lookups!$H13,IF(P$33<=10,$J13,IF(P$33<=15,Lookups!$L13,IF(P$33<=20,Lookups!$N13,Lookups!$P13))))))]]></f>
        <v>0</v>
      </c>
      <c r="S43" s="35"/>
      <c r="U43" t="s" s="0">
        <v>24</v>
      </c>
      <c r="V43" s="24"/>
      <c r="W43" s="25" t="s">
        <v>51</v>
      </c>
      <c r="X43" s="26" t="s">
        <v>52</v>
      </c>
      <c r="Z43" s="1"/>
      <c r="AA43" s="1" t="s">
        <v>51</v>
      </c>
      <c r="AB43" s="1" t="s">
        <v>52</v>
      </c>
    </row>
    <row r="44" spans="2:43" x14ac:dyDescent="0.25">
      <c r="B44" s="18">
        <v>800000</v>
      </c>
      <c r="C44" s="20">
        <f><![CDATA[IF($D$33<=3,Lookups!$C14,IF(D$33<=4,Lookups!$E14,IF(D$33<=5,Lookups!$G14,IF(D$33<=10,$I14,IF(D$33<=15,Lookups!$K14,IF(D$33<=20,Lookups!$M14,Lookups!$O14))))))]]></f>
        <v>0.4</v>
      </c>
      <c r="D44" s="36">
        <f><![CDATA[IF(D$33<=3,Lookups!$D14,IF(D$33<=4,Lookups!$F14,IF(D$33<=5,Lookups!$H14,IF(D$33<=10,$J14,IF(D$33<=15,Lookups!$L14,IF(D$33<=20,Lookups!$N14,Lookups!$P14))))))]]></f>
        <v>0</v>
      </c>
      <c r="E44" s="20">
        <f><![CDATA[IF($F$33<=3,Lookups!$C14,IF(F$33<=4,Lookups!$E14,IF(F$33<=5,Lookups!$G14,IF(F$33<=10,$I14,IF(F$33<=15,Lookups!$K14,IF(F$33<=20,Lookups!$M14,Lookups!$O14))))))]]></f>
        <v>0.39</v>
      </c>
      <c r="F44" s="36">
        <f><![CDATA[IF(F$33<=3,Lookups!$D14,IF(F$33<=4,Lookups!$F14,IF(F$33<=5,Lookups!$H14,IF(F$33<=10,$J14,IF(F$33<=15,Lookups!$L14,IF(F$33<=20,Lookups!$N14,Lookups!$P14))))))]]></f>
        <v>0</v>
      </c>
      <c r="G44" s="20">
        <f><![CDATA[IF($H$33<=3,Lookups!$C14,IF(H$33<=4,Lookups!$E14,IF(H$33<=5,Lookups!$G14,IF(H$33<=10,$I14,IF(H$33<=15,Lookups!$K14,IF(H$33<=20,Lookups!$M14,Lookups!$O14))))))]]></f>
        <v>0.39</v>
      </c>
      <c r="H44" s="36">
        <f><![CDATA[IF(H$33<=3,Lookups!$D14,IF(H$33<=4,Lookups!$F14,IF(H$33<=5,Lookups!$H14,IF(H$33<=10,$J14,IF(H$33<=15,Lookups!$L14,IF(H$33<=20,Lookups!$N14,Lookups!$P14))))))]]></f>
        <v>0</v>
      </c>
      <c r="I44" s="20">
        <f><![CDATA[IF($J$33<=3,Lookups!$C14,IF(J$33<=4,Lookups!$E14,IF(J$33<=5,Lookups!$G14,IF(J$33<=10,$I14,IF(J$33<=15,Lookups!$K14,IF(J$33<=20,Lookups!$M14,Lookups!$O14))))))]]></f>
        <v>0.39</v>
      </c>
      <c r="J44" s="36">
        <f><![CDATA[IF(J$33<=3,Lookups!$D14,IF(J$33<=4,Lookups!$F14,IF(J$33<=5,Lookups!$H14,IF(J$33<=10,$J14,IF(J$33<=15,Lookups!$L14,IF(J$33<=20,Lookups!$N14,Lookups!$P14))))))]]></f>
        <v>0</v>
      </c>
      <c r="K44" s="20">
        <f><![CDATA[IF($L$33<=3,Lookups!$C14,IF(L$33<=4,Lookups!$E14,IF(L$33<=5,Lookups!$G14,IF(L$33<=10,$I14,IF(L$33<=15,Lookups!$K14,IF(L$33<=20,Lookups!$M14,Lookups!$O14))))))]]></f>
        <v>0.39</v>
      </c>
      <c r="L44" s="36">
        <f><![CDATA[IF(L$33<=3,Lookups!$D14,IF(L$33<=4,Lookups!$F14,IF(L$33<=5,Lookups!$H14,IF(L$33<=10,$J14,IF(L$33<=15,Lookups!$L14,IF(L$33<=20,Lookups!$N14,Lookups!$P14))))))]]></f>
        <v>0</v>
      </c>
      <c r="M44" s="20">
        <f><![CDATA[IF($N$33<=3,Lookups!$C14,IF(N$33<=4,Lookups!$E14,IF(N$33<=5,Lookups!$G14,IF(N$33<=10,$I14,IF(N$33<=15,Lookups!$K14,IF(N$33<=20,Lookups!$M14,Lookups!$O14))))))]]></f>
        <v>0.39</v>
      </c>
      <c r="N44" s="36">
        <f><![CDATA[IF(N$33<=3,Lookups!$D14,IF(N$33<=4,Lookups!$F14,IF(N$33<=5,Lookups!$H14,IF(N$33<=10,$J14,IF(N$33<=15,Lookups!$L14,IF(N$33<=20,Lookups!$N14,Lookups!$P14))))))]]></f>
        <v>0</v>
      </c>
      <c r="O44" s="20">
        <f><![CDATA[IF($P$33<=3,Lookups!$C14,IF(P$33<=4,Lookups!$E14,IF(P$33<=5,Lookups!$G14,IF(P$33<=10,$I14,IF(P$33<=15,Lookups!$K14,IF(P$33<=20,Lookups!$M14,Lookups!$O14))))))]]></f>
        <v>0.39</v>
      </c>
      <c r="P44" s="36">
        <f><![CDATA[IF(P$33<=3,Lookups!$D14,IF(P$33<=4,Lookups!$F14,IF(P$33<=5,Lookups!$H14,IF(P$33<=10,$J14,IF(P$33<=15,Lookups!$L14,IF(P$33<=20,Lookups!$N14,Lookups!$P14))))))]]></f>
        <v>0</v>
      </c>
      <c r="S44" s="35"/>
      <c r="V44" s="21">
        <f>Receiving!D38</f>
        <v>0</v>
      </c>
      <c r="W44" s="22">
        <f>LOOKUP($V44,Lookups!$B$60:$B$81,Lookups!$C$60:$C$81)</f>
        <v>0.25</v>
      </c>
      <c r="X44" s="23">
        <f>LOOKUP($V44,Lookups!$B$60:$B$81,Lookups!$D$60:$D$81)</f>
        <v>0</v>
      </c>
      <c r="Z44" s="21">
        <f>Receiving!K38</f>
        <v>0</v>
      </c>
      <c r="AA44" s="22">
        <f>LOOKUP($Z44,Lookups!$B$60:$B$81,Lookups!$C$60:$C$81)</f>
        <v>0.25</v>
      </c>
      <c r="AB44" s="23">
        <f>LOOKUP($Z44,Lookups!$B$60:$B$81,Lookups!$D$60:$D$81)</f>
        <v>0</v>
      </c>
    </row>
    <row r="45" spans="2:43" x14ac:dyDescent="0.25">
      <c r="B45" s="18">
        <v>900000</v>
      </c>
      <c r="C45" s="20">
        <f><![CDATA[IF($D$33<=3,Lookups!$C15,IF(D$33<=4,Lookups!$E15,IF(D$33<=5,Lookups!$G15,IF(D$33<=10,$I15,IF(D$33<=15,Lookups!$K15,IF(D$33<=20,Lookups!$M15,Lookups!$O15))))))]]></f>
        <v>0.4</v>
      </c>
      <c r="D45" s="36">
        <f><![CDATA[IF(D$33<=3,Lookups!$D15,IF(D$33<=4,Lookups!$F15,IF(D$33<=5,Lookups!$H15,IF(D$33<=10,$J15,IF(D$33<=15,Lookups!$L15,IF(D$33<=20,Lookups!$N15,Lookups!$P15))))))]]></f>
        <v>0</v>
      </c>
      <c r="E45" s="20">
        <f><![CDATA[IF($F$33<=3,Lookups!$C15,IF(F$33<=4,Lookups!$E15,IF(F$33<=5,Lookups!$G15,IF(F$33<=10,$I15,IF(F$33<=15,Lookups!$K15,IF(F$33<=20,Lookups!$M15,Lookups!$O15))))))]]></f>
        <v>0.4</v>
      </c>
      <c r="F45" s="36">
        <f><![CDATA[IF(F$33<=3,Lookups!$D15,IF(F$33<=4,Lookups!$F15,IF(F$33<=5,Lookups!$H15,IF(F$33<=10,$J15,IF(F$33<=15,Lookups!$L15,IF(F$33<=20,Lookups!$N15,Lookups!$P15))))))]]></f>
        <v>0</v>
      </c>
      <c r="G45" s="20">
        <f><![CDATA[IF($H$33<=3,Lookups!$C15,IF(H$33<=4,Lookups!$E15,IF(H$33<=5,Lookups!$G15,IF(H$33<=10,$I15,IF(H$33<=15,Lookups!$K15,IF(H$33<=20,Lookups!$M15,Lookups!$O15))))))]]></f>
        <v>0.4</v>
      </c>
      <c r="H45" s="36">
        <f><![CDATA[IF(H$33<=3,Lookups!$D15,IF(H$33<=4,Lookups!$F15,IF(H$33<=5,Lookups!$H15,IF(H$33<=10,$J15,IF(H$33<=15,Lookups!$L15,IF(H$33<=20,Lookups!$N15,Lookups!$P15))))))]]></f>
        <v>0</v>
      </c>
      <c r="I45" s="20">
        <f><![CDATA[IF($J$33<=3,Lookups!$C15,IF(J$33<=4,Lookups!$E15,IF(J$33<=5,Lookups!$G15,IF(J$33<=10,$I15,IF(J$33<=15,Lookups!$K15,IF(J$33<=20,Lookups!$M15,Lookups!$O15))))))]]></f>
        <v>0.4</v>
      </c>
      <c r="J45" s="36">
        <f><![CDATA[IF(J$33<=3,Lookups!$D15,IF(J$33<=4,Lookups!$F15,IF(J$33<=5,Lookups!$H15,IF(J$33<=10,$J15,IF(J$33<=15,Lookups!$L15,IF(J$33<=20,Lookups!$N15,Lookups!$P15))))))]]></f>
        <v>0</v>
      </c>
      <c r="K45" s="20">
        <f><![CDATA[IF($L$33<=3,Lookups!$C15,IF(L$33<=4,Lookups!$E15,IF(L$33<=5,Lookups!$G15,IF(L$33<=10,$I15,IF(L$33<=15,Lookups!$K15,IF(L$33<=20,Lookups!$M15,Lookups!$O15))))))]]></f>
        <v>0.4</v>
      </c>
      <c r="L45" s="36">
        <f><![CDATA[IF(L$33<=3,Lookups!$D15,IF(L$33<=4,Lookups!$F15,IF(L$33<=5,Lookups!$H15,IF(L$33<=10,$J15,IF(L$33<=15,Lookups!$L15,IF(L$33<=20,Lookups!$N15,Lookups!$P15))))))]]></f>
        <v>0</v>
      </c>
      <c r="M45" s="20">
        <f><![CDATA[IF($N$33<=3,Lookups!$C15,IF(N$33<=4,Lookups!$E15,IF(N$33<=5,Lookups!$G15,IF(N$33<=10,$I15,IF(N$33<=15,Lookups!$K15,IF(N$33<=20,Lookups!$M15,Lookups!$O15))))))]]></f>
        <v>0.4</v>
      </c>
      <c r="N45" s="36">
        <f><![CDATA[IF(N$33<=3,Lookups!$D15,IF(N$33<=4,Lookups!$F15,IF(N$33<=5,Lookups!$H15,IF(N$33<=10,$J15,IF(N$33<=15,Lookups!$L15,IF(N$33<=20,Lookups!$N15,Lookups!$P15))))))]]></f>
        <v>0</v>
      </c>
      <c r="O45" s="20">
        <f><![CDATA[IF($P$33<=3,Lookups!$C15,IF(P$33<=4,Lookups!$E15,IF(P$33<=5,Lookups!$G15,IF(P$33<=10,$I15,IF(P$33<=15,Lookups!$K15,IF(P$33<=20,Lookups!$M15,Lookups!$O15))))))]]></f>
        <v>0.4</v>
      </c>
      <c r="P45" s="36">
        <f><![CDATA[IF(P$33<=3,Lookups!$D15,IF(P$33<=4,Lookups!$F15,IF(P$33<=5,Lookups!$H15,IF(P$33<=10,$J15,IF(P$33<=15,Lookups!$L15,IF(P$33<=20,Lookups!$N15,Lookups!$P15))))))]]></f>
        <v>0</v>
      </c>
      <c r="S45" s="35"/>
      <c r="V45" s="21">
        <f>Receiving!D39</f>
        <v>0</v>
      </c>
      <c r="W45" s="22">
        <f>LOOKUP($V45,Lookups!$B$60:$B$81,Lookups!$E$60:$E$81)</f>
        <v>0.25</v>
      </c>
      <c r="X45" s="23">
        <f>LOOKUP($V45,Lookups!$B$60:$B$81,Lookups!F$60:F$81)</f>
        <v>0</v>
      </c>
      <c r="Z45" s="21">
        <f>Receiving!K39</f>
        <v>0</v>
      </c>
      <c r="AA45" s="22">
        <f>LOOKUP($Z45,Lookups!$B$60:$B$81,Lookups!$E$60:$E$81)</f>
        <v>0.25</v>
      </c>
      <c r="AB45" s="23">
        <f>LOOKUP($Z45,Lookups!$B$60:$B$81,Lookups!F$60:F$81)</f>
        <v>0</v>
      </c>
      <c r="AM45" s="3" t="s">
        <v>42</v>
      </c>
      <c r="AN45" s="4" t="s">
        <v>41</v>
      </c>
      <c r="AO45" s="4" t="s">
        <v>53</v>
      </c>
      <c r="AP45" s="4" t="s">
        <v>7</v>
      </c>
      <c r="AQ45" s="4" t="s">
        <v>6</v>
      </c>
    </row>
    <row r="46" spans="2:43" x14ac:dyDescent="0.25">
      <c r="B46" s="18">
        <v>1000000</v>
      </c>
      <c r="C46" s="20">
        <f><![CDATA[IF($D$33<=3,Lookups!$C16,IF(D$33<=4,Lookups!$E16,IF(D$33<=5,Lookups!$G16,IF(D$33<=10,$I16,IF(D$33<=15,Lookups!$K16,IF(D$33<=20,Lookups!$M16,Lookups!$O16))))))]]></f>
        <v>0.4</v>
      </c>
      <c r="D46" s="36">
        <f><![CDATA[IF(D$33<=3,Lookups!$D16,IF(D$33<=4,Lookups!$F16,IF(D$33<=5,Lookups!$H16,IF(D$33<=10,$J16,IF(D$33<=15,Lookups!$L16,IF(D$33<=20,Lookups!$N16,Lookups!$P16))))))]]></f>
        <v>0</v>
      </c>
      <c r="E46" s="20">
        <f><![CDATA[IF($F$33<=3,Lookups!$C16,IF(F$33<=4,Lookups!$E16,IF(F$33<=5,Lookups!$G16,IF(F$33<=10,$I16,IF(F$33<=15,Lookups!$K16,IF(F$33<=20,Lookups!$M16,Lookups!$O16))))))]]></f>
        <v>0.4</v>
      </c>
      <c r="F46" s="36">
        <f><![CDATA[IF(F$33<=3,Lookups!$D16,IF(F$33<=4,Lookups!$F16,IF(F$33<=5,Lookups!$H16,IF(F$33<=10,$J16,IF(F$33<=15,Lookups!$L16,IF(F$33<=20,Lookups!$N16,Lookups!$P16))))))]]></f>
        <v>0</v>
      </c>
      <c r="G46" s="20">
        <f><![CDATA[IF($H$33<=3,Lookups!$C16,IF(H$33<=4,Lookups!$E16,IF(H$33<=5,Lookups!$G16,IF(H$33<=10,$I16,IF(H$33<=15,Lookups!$K16,IF(H$33<=20,Lookups!$M16,Lookups!$O16))))))]]></f>
        <v>0.4</v>
      </c>
      <c r="H46" s="36">
        <f><![CDATA[IF(H$33<=3,Lookups!$D16,IF(H$33<=4,Lookups!$F16,IF(H$33<=5,Lookups!$H16,IF(H$33<=10,$J16,IF(H$33<=15,Lookups!$L16,IF(H$33<=20,Lookups!$N16,Lookups!$P16))))))]]></f>
        <v>0</v>
      </c>
      <c r="I46" s="20">
        <f><![CDATA[IF($J$33<=3,Lookups!$C16,IF(J$33<=4,Lookups!$E16,IF(J$33<=5,Lookups!$G16,IF(J$33<=10,$I16,IF(J$33<=15,Lookups!$K16,IF(J$33<=20,Lookups!$M16,Lookups!$O16))))))]]></f>
        <v>0.4</v>
      </c>
      <c r="J46" s="36">
        <f><![CDATA[IF(J$33<=3,Lookups!$D16,IF(J$33<=4,Lookups!$F16,IF(J$33<=5,Lookups!$H16,IF(J$33<=10,$J16,IF(J$33<=15,Lookups!$L16,IF(J$33<=20,Lookups!$N16,Lookups!$P16))))))]]></f>
        <v>0</v>
      </c>
      <c r="K46" s="20">
        <f><![CDATA[IF($L$33<=3,Lookups!$C16,IF(L$33<=4,Lookups!$E16,IF(L$33<=5,Lookups!$G16,IF(L$33<=10,$I16,IF(L$33<=15,Lookups!$K16,IF(L$33<=20,Lookups!$M16,Lookups!$O16))))))]]></f>
        <v>0.4</v>
      </c>
      <c r="L46" s="36">
        <f><![CDATA[IF(L$33<=3,Lookups!$D16,IF(L$33<=4,Lookups!$F16,IF(L$33<=5,Lookups!$H16,IF(L$33<=10,$J16,IF(L$33<=15,Lookups!$L16,IF(L$33<=20,Lookups!$N16,Lookups!$P16))))))]]></f>
        <v>0</v>
      </c>
      <c r="M46" s="20">
        <f><![CDATA[IF($N$33<=3,Lookups!$C16,IF(N$33<=4,Lookups!$E16,IF(N$33<=5,Lookups!$G16,IF(N$33<=10,$I16,IF(N$33<=15,Lookups!$K16,IF(N$33<=20,Lookups!$M16,Lookups!$O16))))))]]></f>
        <v>0.4</v>
      </c>
      <c r="N46" s="36">
        <f><![CDATA[IF(N$33<=3,Lookups!$D16,IF(N$33<=4,Lookups!$F16,IF(N$33<=5,Lookups!$H16,IF(N$33<=10,$J16,IF(N$33<=15,Lookups!$L16,IF(N$33<=20,Lookups!$N16,Lookups!$P16))))))]]></f>
        <v>0</v>
      </c>
      <c r="O46" s="20">
        <f><![CDATA[IF($P$33<=3,Lookups!$C16,IF(P$33<=4,Lookups!$E16,IF(P$33<=5,Lookups!$G16,IF(P$33<=10,$I16,IF(P$33<=15,Lookups!$K16,IF(P$33<=20,Lookups!$M16,Lookups!$O16))))))]]></f>
        <v>0.4</v>
      </c>
      <c r="P46" s="36">
        <f><![CDATA[IF(P$33<=3,Lookups!$D16,IF(P$33<=4,Lookups!$F16,IF(P$33<=5,Lookups!$H16,IF(P$33<=10,$J16,IF(P$33<=15,Lookups!$L16,IF(P$33<=20,Lookups!$N16,Lookups!$P16))))))]]></f>
        <v>0</v>
      </c>
      <c r="S46" s="35"/>
      <c r="V46" s="21">
        <f>Receiving!D40</f>
        <v>0</v>
      </c>
      <c r="W46" s="22">
        <f>LOOKUP($V46,Lookups!$B$60:$B$81,Lookups!$G$60:$G$81)</f>
        <v>0.25</v>
      </c>
      <c r="X46" s="23">
        <f>LOOKUP($V46,Lookups!$B$60:$B$81,Lookups!$H$60:$H$81)</f>
        <v>0</v>
      </c>
      <c r="Z46" s="21">
        <f>Receiving!K40</f>
        <v>0</v>
      </c>
      <c r="AA46" s="22">
        <f>LOOKUP($Z46,Lookups!$B$60:$B$81,Lookups!$G$60:$G$81)</f>
        <v>0.25</v>
      </c>
      <c r="AB46" s="23">
        <f>LOOKUP($Z46,Lookups!$B$60:$B$81,Lookups!$H$60:$H$81)</f>
        <v>0</v>
      </c>
      <c r="AL46" s="31">
        <v>0</v>
      </c>
      <c r="AM46" s="4" t="s">
        <v>31</v>
      </c>
      <c r="AN46" s="19">
        <v>0.5</v>
      </c>
      <c r="AO46" s="19">
        <f>Departing!E$14/2</f>
        <v>0.17499999999999999</v>
      </c>
      <c r="AP46" s="125">
        <v>0</v>
      </c>
      <c r="AQ46" s="19">
        <f>IF(Departing!E$15="yes",$AQ$54,0)</f>
        <v>0.1</v>
      </c>
    </row>
    <row r="47" spans="2:43" x14ac:dyDescent="0.25">
      <c r="B47" s="18">
        <v>1100000</v>
      </c>
      <c r="C47" s="20">
        <f><![CDATA[IF($D$33<=3,Lookups!$C17,IF(D$33<=4,Lookups!$E17,IF(D$33<=5,Lookups!$G17,IF(D$33<=10,$I17,IF(D$33<=15,Lookups!$K17,IF(D$33<=20,Lookups!$M17,Lookups!$O17))))))]]></f>
        <v>0.4</v>
      </c>
      <c r="D47" s="36">
        <f><![CDATA[IF(D$33<=3,Lookups!$D17,IF(D$33<=4,Lookups!$F17,IF(D$33<=5,Lookups!$H17,IF(D$33<=10,$J17,IF(D$33<=15,Lookups!$L17,IF(D$33<=20,Lookups!$N17,Lookups!$P17))))))]]></f>
        <v>0.01</v>
      </c>
      <c r="E47" s="20">
        <f><![CDATA[IF($F$33<=3,Lookups!$C17,IF(F$33<=4,Lookups!$E17,IF(F$33<=5,Lookups!$G17,IF(F$33<=10,$I17,IF(F$33<=15,Lookups!$K17,IF(F$33<=20,Lookups!$M17,Lookups!$O17))))))]]></f>
        <v>0.4</v>
      </c>
      <c r="F47" s="36">
        <f><![CDATA[IF(F$33<=3,Lookups!$D17,IF(F$33<=4,Lookups!$F17,IF(F$33<=5,Lookups!$H17,IF(F$33<=10,$J17,IF(F$33<=15,Lookups!$L17,IF(F$33<=20,Lookups!$N17,Lookups!$P17))))))]]></f>
        <v>0.01</v>
      </c>
      <c r="G47" s="20">
        <f><![CDATA[IF($H$33<=3,Lookups!$C17,IF(H$33<=4,Lookups!$E17,IF(H$33<=5,Lookups!$G17,IF(H$33<=10,$I17,IF(H$33<=15,Lookups!$K17,IF(H$33<=20,Lookups!$M17,Lookups!$O17))))))]]></f>
        <v>0.4</v>
      </c>
      <c r="H47" s="36">
        <f><![CDATA[IF(H$33<=3,Lookups!$D17,IF(H$33<=4,Lookups!$F17,IF(H$33<=5,Lookups!$H17,IF(H$33<=10,$J17,IF(H$33<=15,Lookups!$L17,IF(H$33<=20,Lookups!$N17,Lookups!$P17))))))]]></f>
        <v>0.01</v>
      </c>
      <c r="I47" s="20">
        <f><![CDATA[IF($J$33<=3,Lookups!$C17,IF(J$33<=4,Lookups!$E17,IF(J$33<=5,Lookups!$G17,IF(J$33<=10,$I17,IF(J$33<=15,Lookups!$K17,IF(J$33<=20,Lookups!$M17,Lookups!$O17))))))]]></f>
        <v>0.4</v>
      </c>
      <c r="J47" s="36">
        <f><![CDATA[IF(J$33<=3,Lookups!$D17,IF(J$33<=4,Lookups!$F17,IF(J$33<=5,Lookups!$H17,IF(J$33<=10,$J17,IF(J$33<=15,Lookups!$L17,IF(J$33<=20,Lookups!$N17,Lookups!$P17))))))]]></f>
        <v>0.01</v>
      </c>
      <c r="K47" s="20">
        <f><![CDATA[IF($L$33<=3,Lookups!$C17,IF(L$33<=4,Lookups!$E17,IF(L$33<=5,Lookups!$G17,IF(L$33<=10,$I17,IF(L$33<=15,Lookups!$K17,IF(L$33<=20,Lookups!$M17,Lookups!$O17))))))]]></f>
        <v>0.4</v>
      </c>
      <c r="L47" s="36">
        <f><![CDATA[IF(L$33<=3,Lookups!$D17,IF(L$33<=4,Lookups!$F17,IF(L$33<=5,Lookups!$H17,IF(L$33<=10,$J17,IF(L$33<=15,Lookups!$L17,IF(L$33<=20,Lookups!$N17,Lookups!$P17))))))]]></f>
        <v>0.01</v>
      </c>
      <c r="M47" s="20">
        <f><![CDATA[IF($N$33<=3,Lookups!$C17,IF(N$33<=4,Lookups!$E17,IF(N$33<=5,Lookups!$G17,IF(N$33<=10,$I17,IF(N$33<=15,Lookups!$K17,IF(N$33<=20,Lookups!$M17,Lookups!$O17))))))]]></f>
        <v>0.4</v>
      </c>
      <c r="N47" s="36">
        <f><![CDATA[IF(N$33<=3,Lookups!$D17,IF(N$33<=4,Lookups!$F17,IF(N$33<=5,Lookups!$H17,IF(N$33<=10,$J17,IF(N$33<=15,Lookups!$L17,IF(N$33<=20,Lookups!$N17,Lookups!$P17))))))]]></f>
        <v>0.01</v>
      </c>
      <c r="O47" s="20">
        <f><![CDATA[IF($P$33<=3,Lookups!$C17,IF(P$33<=4,Lookups!$E17,IF(P$33<=5,Lookups!$G17,IF(P$33<=10,$I17,IF(P$33<=15,Lookups!$K17,IF(P$33<=20,Lookups!$M17,Lookups!$O17))))))]]></f>
        <v>0.4</v>
      </c>
      <c r="P47" s="36">
        <f><![CDATA[IF(P$33<=3,Lookups!$D17,IF(P$33<=4,Lookups!$F17,IF(P$33<=5,Lookups!$H17,IF(P$33<=10,$J17,IF(P$33<=15,Lookups!$L17,IF(P$33<=20,Lookups!$N17,Lookups!$P17))))))]]></f>
        <v>0.01</v>
      </c>
      <c r="V47" s="21">
        <f>Receiving!D41</f>
        <v>0</v>
      </c>
      <c r="W47" s="22">
        <f>LOOKUP($V47,Lookups!$B$60:$B$81,Lookups!$I$60:$I$81)</f>
        <v>0.25</v>
      </c>
      <c r="X47" s="23">
        <f>LOOKUP($V47,Lookups!$B$60:$B$81,Lookups!$J$60:$J$81)</f>
        <v>0</v>
      </c>
      <c r="Z47" s="21">
        <f>Receiving!K41</f>
        <v>0</v>
      </c>
      <c r="AA47" s="22">
        <f>LOOKUP($Z47,Lookups!$B$60:$B$81,Lookups!$I$60:$I$81)</f>
        <v>0.25</v>
      </c>
      <c r="AB47" s="23">
        <f>LOOKUP($Z47,Lookups!$B$60:$B$81,Lookups!$J$60:$J$81)</f>
        <v>0</v>
      </c>
      <c r="AL47" s="32">
        <v>660000</v>
      </c>
      <c r="AM47" s="4" t="s">
        <v>30</v>
      </c>
      <c r="AN47" s="19">
        <v>1</v>
      </c>
      <c r="AO47" s="19">
        <f>Departing!E$14/2</f>
        <v>0.17499999999999999</v>
      </c>
      <c r="AP47" s="125">
        <v>0</v>
      </c>
      <c r="AQ47" s="19">
        <f>IF(Departing!E$15="yes",$AQ$54,0)</f>
        <v>0.1</v>
      </c>
    </row>
    <row r="48" spans="2:43" x14ac:dyDescent="0.25">
      <c r="B48" s="18">
        <v>1200000</v>
      </c>
      <c r="C48" s="20">
        <f><![CDATA[IF($D$33<=3,Lookups!$C18,IF(D$33<=4,Lookups!$E18,IF(D$33<=5,Lookups!$G18,IF(D$33<=10,$I18,IF(D$33<=15,Lookups!$K18,IF(D$33<=20,Lookups!$M18,Lookups!$O18))))))]]></f>
        <v>0.4</v>
      </c>
      <c r="D48" s="36">
        <f><![CDATA[IF(D$33<=3,Lookups!$D18,IF(D$33<=4,Lookups!$F18,IF(D$33<=5,Lookups!$H18,IF(D$33<=10,$J18,IF(D$33<=15,Lookups!$L18,IF(D$33<=20,Lookups!$N18,Lookups!$P18))))))]]></f>
        <v>0.01</v>
      </c>
      <c r="E48" s="20">
        <f><![CDATA[IF($F$33<=3,Lookups!$C18,IF(F$33<=4,Lookups!$E18,IF(F$33<=5,Lookups!$G18,IF(F$33<=10,$I18,IF(F$33<=15,Lookups!$K18,IF(F$33<=20,Lookups!$M18,Lookups!$O18))))))]]></f>
        <v>0.4</v>
      </c>
      <c r="F48" s="36">
        <f><![CDATA[IF(F$33<=3,Lookups!$D18,IF(F$33<=4,Lookups!$F18,IF(F$33<=5,Lookups!$H18,IF(F$33<=10,$J18,IF(F$33<=15,Lookups!$L18,IF(F$33<=20,Lookups!$N18,Lookups!$P18))))))]]></f>
        <v>0.01</v>
      </c>
      <c r="G48" s="20">
        <f><![CDATA[IF($H$33<=3,Lookups!$C18,IF(H$33<=4,Lookups!$E18,IF(H$33<=5,Lookups!$G18,IF(H$33<=10,$I18,IF(H$33<=15,Lookups!$K18,IF(H$33<=20,Lookups!$M18,Lookups!$O18))))))]]></f>
        <v>0.4</v>
      </c>
      <c r="H48" s="36">
        <f><![CDATA[IF(H$33<=3,Lookups!$D18,IF(H$33<=4,Lookups!$F18,IF(H$33<=5,Lookups!$H18,IF(H$33<=10,$J18,IF(H$33<=15,Lookups!$L18,IF(H$33<=20,Lookups!$N18,Lookups!$P18))))))]]></f>
        <v>0.01</v>
      </c>
      <c r="I48" s="20">
        <f><![CDATA[IF($J$33<=3,Lookups!$C18,IF(J$33<=4,Lookups!$E18,IF(J$33<=5,Lookups!$G18,IF(J$33<=10,$I18,IF(J$33<=15,Lookups!$K18,IF(J$33<=20,Lookups!$M18,Lookups!$O18))))))]]></f>
        <v>0.4</v>
      </c>
      <c r="J48" s="36">
        <f><![CDATA[IF(J$33<=3,Lookups!$D18,IF(J$33<=4,Lookups!$F18,IF(J$33<=5,Lookups!$H18,IF(J$33<=10,$J18,IF(J$33<=15,Lookups!$L18,IF(J$33<=20,Lookups!$N18,Lookups!$P18))))))]]></f>
        <v>0.01</v>
      </c>
      <c r="K48" s="20">
        <f><![CDATA[IF($L$33<=3,Lookups!$C18,IF(L$33<=4,Lookups!$E18,IF(L$33<=5,Lookups!$G18,IF(L$33<=10,$I18,IF(L$33<=15,Lookups!$K18,IF(L$33<=20,Lookups!$M18,Lookups!$O18))))))]]></f>
        <v>0.4</v>
      </c>
      <c r="L48" s="36">
        <f><![CDATA[IF(L$33<=3,Lookups!$D18,IF(L$33<=4,Lookups!$F18,IF(L$33<=5,Lookups!$H18,IF(L$33<=10,$J18,IF(L$33<=15,Lookups!$L18,IF(L$33<=20,Lookups!$N18,Lookups!$P18))))))]]></f>
        <v>0.01</v>
      </c>
      <c r="M48" s="20">
        <f><![CDATA[IF($N$33<=3,Lookups!$C18,IF(N$33<=4,Lookups!$E18,IF(N$33<=5,Lookups!$G18,IF(N$33<=10,$I18,IF(N$33<=15,Lookups!$K18,IF(N$33<=20,Lookups!$M18,Lookups!$O18))))))]]></f>
        <v>0.4</v>
      </c>
      <c r="N48" s="36">
        <f><![CDATA[IF(N$33<=3,Lookups!$D18,IF(N$33<=4,Lookups!$F18,IF(N$33<=5,Lookups!$H18,IF(N$33<=10,$J18,IF(N$33<=15,Lookups!$L18,IF(N$33<=20,Lookups!$N18,Lookups!$P18))))))]]></f>
        <v>0.01</v>
      </c>
      <c r="O48" s="20">
        <f><![CDATA[IF($P$33<=3,Lookups!$C18,IF(P$33<=4,Lookups!$E18,IF(P$33<=5,Lookups!$G18,IF(P$33<=10,$I18,IF(P$33<=15,Lookups!$K18,IF(P$33<=20,Lookups!$M18,Lookups!$O18))))))]]></f>
        <v>0.4</v>
      </c>
      <c r="P48" s="36">
        <f><![CDATA[IF(P$33<=3,Lookups!$D18,IF(P$33<=4,Lookups!$F18,IF(P$33<=5,Lookups!$H18,IF(P$33<=10,$J18,IF(P$33<=15,Lookups!$L18,IF(P$33<=20,Lookups!$N18,Lookups!$P18))))))]]></f>
        <v>0.01</v>
      </c>
      <c r="V48" s="21">
        <f>Receiving!D42</f>
        <v>0</v>
      </c>
      <c r="W48" s="22">
        <f>LOOKUP($V48,Lookups!$B$60:$B$81,Lookups!$K$60:$K$81)</f>
        <v>0.25</v>
      </c>
      <c r="X48" s="23">
        <f>LOOKUP($V48,Lookups!$B$60:$B$81,Lookups!$L$60:$L$81)</f>
        <v>0</v>
      </c>
      <c r="Z48" s="21">
        <f>Receiving!K42</f>
        <v>0</v>
      </c>
      <c r="AA48" s="22">
        <f>LOOKUP($Z48,Lookups!$B$60:$B$81,Lookups!$K$60:$K$81)</f>
        <v>0.25</v>
      </c>
      <c r="AB48" s="23">
        <f>LOOKUP($Z48,Lookups!$B$60:$B$81,Lookups!$L$60:$L$81)</f>
        <v>0</v>
      </c>
      <c r="AL48" s="109">
        <v>2000000</v>
      </c>
      <c r="AM48" s="106" t="s">
        <v>19</v>
      </c>
      <c r="AN48" s="105">
        <v>1.25</v>
      </c>
      <c r="AO48" s="19">
        <f>Departing!E$14/2</f>
        <v>0.17499999999999999</v>
      </c>
      <c r="AP48" s="125">
        <v>0</v>
      </c>
      <c r="AQ48" s="126">
        <f>IF(Departing!E$15="yes",$AQ$54,0)</f>
        <v>0.1</v>
      </c>
    </row>
    <row r="49" spans="2:53" ht="15" customHeight="1" x14ac:dyDescent="0.25">
      <c r="B49" s="18">
        <v>1300000</v>
      </c>
      <c r="C49" s="20">
        <f><![CDATA[IF($D$33<=3,Lookups!$C19,IF(D$33<=4,Lookups!$E19,IF(D$33<=5,Lookups!$G19,IF(D$33<=10,$I19,IF(D$33<=15,Lookups!$K19,IF(D$33<=20,Lookups!$M19,Lookups!$O19))))))]]></f>
        <v>0.4</v>
      </c>
      <c r="D49" s="36">
        <f><![CDATA[IF(D$33<=3,Lookups!$D19,IF(D$33<=4,Lookups!$F19,IF(D$33<=5,Lookups!$H19,IF(D$33<=10,$J19,IF(D$33<=15,Lookups!$L19,IF(D$33<=20,Lookups!$N19,Lookups!$P19))))))]]></f>
        <v>0.01</v>
      </c>
      <c r="E49" s="20">
        <f><![CDATA[IF($F$33<=3,Lookups!$C19,IF(F$33<=4,Lookups!$E19,IF(F$33<=5,Lookups!$G19,IF(F$33<=10,$I19,IF(F$33<=15,Lookups!$K19,IF(F$33<=20,Lookups!$M19,Lookups!$O19))))))]]></f>
        <v>0.4</v>
      </c>
      <c r="F49" s="36">
        <f><![CDATA[IF(F$33<=3,Lookups!$D19,IF(F$33<=4,Lookups!$F19,IF(F$33<=5,Lookups!$H19,IF(F$33<=10,$J19,IF(F$33<=15,Lookups!$L19,IF(F$33<=20,Lookups!$N19,Lookups!$P19))))))]]></f>
        <v>0.01</v>
      </c>
      <c r="G49" s="20">
        <f><![CDATA[IF($H$33<=3,Lookups!$C19,IF(H$33<=4,Lookups!$E19,IF(H$33<=5,Lookups!$G19,IF(H$33<=10,$I19,IF(H$33<=15,Lookups!$K19,IF(H$33<=20,Lookups!$M19,Lookups!$O19))))))]]></f>
        <v>0.4</v>
      </c>
      <c r="H49" s="36">
        <f><![CDATA[IF(H$33<=3,Lookups!$D19,IF(H$33<=4,Lookups!$F19,IF(H$33<=5,Lookups!$H19,IF(H$33<=10,$J19,IF(H$33<=15,Lookups!$L19,IF(H$33<=20,Lookups!$N19,Lookups!$P19))))))]]></f>
        <v>0.01</v>
      </c>
      <c r="I49" s="20">
        <f><![CDATA[IF($J$33<=3,Lookups!$C19,IF(J$33<=4,Lookups!$E19,IF(J$33<=5,Lookups!$G19,IF(J$33<=10,$I19,IF(J$33<=15,Lookups!$K19,IF(J$33<=20,Lookups!$M19,Lookups!$O19))))))]]></f>
        <v>0.4</v>
      </c>
      <c r="J49" s="36">
        <f><![CDATA[IF(J$33<=3,Lookups!$D19,IF(J$33<=4,Lookups!$F19,IF(J$33<=5,Lookups!$H19,IF(J$33<=10,$J19,IF(J$33<=15,Lookups!$L19,IF(J$33<=20,Lookups!$N19,Lookups!$P19))))))]]></f>
        <v>0.01</v>
      </c>
      <c r="K49" s="20">
        <f><![CDATA[IF($L$33<=3,Lookups!$C19,IF(L$33<=4,Lookups!$E19,IF(L$33<=5,Lookups!$G19,IF(L$33<=10,$I19,IF(L$33<=15,Lookups!$K19,IF(L$33<=20,Lookups!$M19,Lookups!$O19))))))]]></f>
        <v>0.4</v>
      </c>
      <c r="L49" s="36">
        <f><![CDATA[IF(L$33<=3,Lookups!$D19,IF(L$33<=4,Lookups!$F19,IF(L$33<=5,Lookups!$H19,IF(L$33<=10,$J19,IF(L$33<=15,Lookups!$L19,IF(L$33<=20,Lookups!$N19,Lookups!$P19))))))]]></f>
        <v>0.01</v>
      </c>
      <c r="M49" s="20">
        <f><![CDATA[IF($N$33<=3,Lookups!$C19,IF(N$33<=4,Lookups!$E19,IF(N$33<=5,Lookups!$G19,IF(N$33<=10,$I19,IF(N$33<=15,Lookups!$K19,IF(N$33<=20,Lookups!$M19,Lookups!$O19))))))]]></f>
        <v>0.4</v>
      </c>
      <c r="N49" s="36">
        <f><![CDATA[IF(N$33<=3,Lookups!$D19,IF(N$33<=4,Lookups!$F19,IF(N$33<=5,Lookups!$H19,IF(N$33<=10,$J19,IF(N$33<=15,Lookups!$L19,IF(N$33<=20,Lookups!$N19,Lookups!$P19))))))]]></f>
        <v>0.01</v>
      </c>
      <c r="O49" s="20">
        <f><![CDATA[IF($P$33<=3,Lookups!$C19,IF(P$33<=4,Lookups!$E19,IF(P$33<=5,Lookups!$G19,IF(P$33<=10,$I19,IF(P$33<=15,Lookups!$K19,IF(P$33<=20,Lookups!$M19,Lookups!$O19))))))]]></f>
        <v>0.4</v>
      </c>
      <c r="P49" s="36">
        <f><![CDATA[IF(P$33<=3,Lookups!$D19,IF(P$33<=4,Lookups!$F19,IF(P$33<=5,Lookups!$H19,IF(P$33<=10,$J19,IF(P$33<=15,Lookups!$L19,IF(P$33<=20,Lookups!$N19,Lookups!$P19))))))]]></f>
        <v>0.01</v>
      </c>
      <c r="V49" s="21">
        <f>Receiving!D43</f>
        <v>0</v>
      </c>
      <c r="W49" s="22">
        <f>LOOKUP($V49,Lookups!$B$60:$B$81,Lookups!$M$60:$M$81)</f>
        <v>0.25</v>
      </c>
      <c r="X49" s="23">
        <f>LOOKUP($V49,Lookups!$B$60:$B$81,Lookups!$N$60:$N$81)</f>
        <v>0</v>
      </c>
      <c r="Z49" s="21">
        <f>Receiving!K43</f>
        <v>0</v>
      </c>
      <c r="AA49" s="22">
        <f>LOOKUP($Z49,Lookups!$B$60:$B$81,Lookups!$M$60:$M$81)</f>
        <v>0.25</v>
      </c>
      <c r="AB49" s="23">
        <f>LOOKUP($Z49,Lookups!$B$60:$B$81,Lookups!$N$60:$N$81)</f>
        <v>0</v>
      </c>
      <c r="AL49" s="128">
        <v>3500000</v>
      </c>
      <c r="AM49" s="106" t="s">
        <v>20</v>
      </c>
      <c r="AN49" s="127">
        <v>1.4</v>
      </c>
      <c r="AO49" s="19">
        <f>Departing!E$14/2</f>
        <v>0.17499999999999999</v>
      </c>
      <c r="AP49" s="125">
        <v>0</v>
      </c>
      <c r="AQ49" s="126">
        <f>IF(Departing!E$15="yes",$AQ$54,0)</f>
        <v>0.1</v>
      </c>
    </row>
    <row r="50" spans="2:53" x14ac:dyDescent="0.25">
      <c r="B50" s="18">
        <v>1400000</v>
      </c>
      <c r="C50" s="20">
        <f><![CDATA[IF($D$33<=3,Lookups!$C20,IF(D$33<=4,Lookups!$E20,IF(D$33<=5,Lookups!$G20,IF(D$33<=10,$I20,IF(D$33<=15,Lookups!$K20,IF(D$33<=20,Lookups!$M20,Lookups!$O20))))))]]></f>
        <v>0.4</v>
      </c>
      <c r="D50" s="36">
        <f><![CDATA[IF(D$33<=3,Lookups!$D20,IF(D$33<=4,Lookups!$F20,IF(D$33<=5,Lookups!$H20,IF(D$33<=10,$J20,IF(D$33<=15,Lookups!$L20,IF(D$33<=20,Lookups!$N20,Lookups!$P20))))))]]></f>
        <v>0.01</v>
      </c>
      <c r="E50" s="20">
        <f><![CDATA[IF($F$33<=3,Lookups!$C20,IF(F$33<=4,Lookups!$E20,IF(F$33<=5,Lookups!$G20,IF(F$33<=10,$I20,IF(F$33<=15,Lookups!$K20,IF(F$33<=20,Lookups!$M20,Lookups!$O20))))))]]></f>
        <v>0.4</v>
      </c>
      <c r="F50" s="36">
        <f><![CDATA[IF(F$33<=3,Lookups!$D20,IF(F$33<=4,Lookups!$F20,IF(F$33<=5,Lookups!$H20,IF(F$33<=10,$J20,IF(F$33<=15,Lookups!$L20,IF(F$33<=20,Lookups!$N20,Lookups!$P20))))))]]></f>
        <v>0.01</v>
      </c>
      <c r="G50" s="20">
        <f><![CDATA[IF($H$33<=3,Lookups!$C20,IF(H$33<=4,Lookups!$E20,IF(H$33<=5,Lookups!$G20,IF(H$33<=10,$I20,IF(H$33<=15,Lookups!$K20,IF(H$33<=20,Lookups!$M20,Lookups!$O20))))))]]></f>
        <v>0.4</v>
      </c>
      <c r="H50" s="36">
        <f><![CDATA[IF(H$33<=3,Lookups!$D20,IF(H$33<=4,Lookups!$F20,IF(H$33<=5,Lookups!$H20,IF(H$33<=10,$J20,IF(H$33<=15,Lookups!$L20,IF(H$33<=20,Lookups!$N20,Lookups!$P20))))))]]></f>
        <v>0.01</v>
      </c>
      <c r="I50" s="20">
        <f><![CDATA[IF($J$33<=3,Lookups!$C20,IF(J$33<=4,Lookups!$E20,IF(J$33<=5,Lookups!$G20,IF(J$33<=10,$I20,IF(J$33<=15,Lookups!$K20,IF(J$33<=20,Lookups!$M20,Lookups!$O20))))))]]></f>
        <v>0.4</v>
      </c>
      <c r="J50" s="36">
        <f><![CDATA[IF(J$33<=3,Lookups!$D20,IF(J$33<=4,Lookups!$F20,IF(J$33<=5,Lookups!$H20,IF(J$33<=10,$J20,IF(J$33<=15,Lookups!$L20,IF(J$33<=20,Lookups!$N20,Lookups!$P20))))))]]></f>
        <v>0.01</v>
      </c>
      <c r="K50" s="20">
        <f><![CDATA[IF($L$33<=3,Lookups!$C20,IF(L$33<=4,Lookups!$E20,IF(L$33<=5,Lookups!$G20,IF(L$33<=10,$I20,IF(L$33<=15,Lookups!$K20,IF(L$33<=20,Lookups!$M20,Lookups!$O20))))))]]></f>
        <v>0.4</v>
      </c>
      <c r="L50" s="36">
        <f><![CDATA[IF(L$33<=3,Lookups!$D20,IF(L$33<=4,Lookups!$F20,IF(L$33<=5,Lookups!$H20,IF(L$33<=10,$J20,IF(L$33<=15,Lookups!$L20,IF(L$33<=20,Lookups!$N20,Lookups!$P20))))))]]></f>
        <v>0.01</v>
      </c>
      <c r="M50" s="20">
        <f><![CDATA[IF($N$33<=3,Lookups!$C20,IF(N$33<=4,Lookups!$E20,IF(N$33<=5,Lookups!$G20,IF(N$33<=10,$I20,IF(N$33<=15,Lookups!$K20,IF(N$33<=20,Lookups!$M20,Lookups!$O20))))))]]></f>
        <v>0.4</v>
      </c>
      <c r="N50" s="36">
        <f><![CDATA[IF(N$33<=3,Lookups!$D20,IF(N$33<=4,Lookups!$F20,IF(N$33<=5,Lookups!$H20,IF(N$33<=10,$J20,IF(N$33<=15,Lookups!$L20,IF(N$33<=20,Lookups!$N20,Lookups!$P20))))))]]></f>
        <v>0.01</v>
      </c>
      <c r="O50" s="20">
        <f><![CDATA[IF($P$33<=3,Lookups!$C20,IF(P$33<=4,Lookups!$E20,IF(P$33<=5,Lookups!$G20,IF(P$33<=10,$I20,IF(P$33<=15,Lookups!$K20,IF(P$33<=20,Lookups!$M20,Lookups!$O20))))))]]></f>
        <v>0.4</v>
      </c>
      <c r="P50" s="36">
        <f><![CDATA[IF(P$33<=3,Lookups!$D20,IF(P$33<=4,Lookups!$F20,IF(P$33<=5,Lookups!$H20,IF(P$33<=10,$J20,IF(P$33<=15,Lookups!$L20,IF(P$33<=20,Lookups!$N20,Lookups!$P20))))))]]></f>
        <v>0.01</v>
      </c>
      <c r="S50" s="35"/>
      <c r="V50" s="21">
        <f>Receiving!D44</f>
        <v>0</v>
      </c>
      <c r="W50" s="22">
        <f>LOOKUP($V50,Lookups!$B$60:$B$81,Lookups!$O$60:$O$81)</f>
        <v>0.25</v>
      </c>
      <c r="X50" s="23">
        <f>LOOKUP($V50,Lookups!$B$60:$B$81,Lookups!$P$60:$P$81)</f>
        <v>0</v>
      </c>
      <c r="Z50" s="21">
        <f>Receiving!K44</f>
        <v>0</v>
      </c>
      <c r="AA50" s="22">
        <f>LOOKUP($Z50,Lookups!$B$60:$B$81,Lookups!$O$60:$O$81)</f>
        <v>0.25</v>
      </c>
      <c r="AB50" s="23">
        <f>LOOKUP($Z50,Lookups!$B$60:$B$81,Lookups!$P$60:$P$81)</f>
        <v>0</v>
      </c>
      <c r="AL50" s="32">
        <v>5000000</v>
      </c>
      <c r="AM50" s="4" t="s">
        <v>21</v>
      </c>
      <c r="AN50" s="19">
        <v>1.6</v>
      </c>
      <c r="AO50" s="19">
        <f>Departing!E$14/2</f>
        <v>0.17499999999999999</v>
      </c>
      <c r="AP50" s="125">
        <v>0</v>
      </c>
      <c r="AQ50" s="19">
        <f>IF(Departing!E$15="yes",$AQ$54,0)</f>
        <v>0.1</v>
      </c>
    </row>
    <row r="51" spans="2:53" x14ac:dyDescent="0.25">
      <c r="B51" s="18">
        <v>1500000</v>
      </c>
      <c r="C51" s="20">
        <f><![CDATA[IF($D$33<=3,Lookups!$C21,IF(D$33<=4,Lookups!$E21,IF(D$33<=5,Lookups!$G21,IF(D$33<=10,$I21,IF(D$33<=15,Lookups!$K21,IF(D$33<=20,Lookups!$M21,Lookups!$O21))))))]]></f>
        <v>0.4</v>
      </c>
      <c r="D51" s="36">
        <f><![CDATA[IF(D$33<=3,Lookups!$D21,IF(D$33<=4,Lookups!$F21,IF(D$33<=5,Lookups!$H21,IF(D$33<=10,$J21,IF(D$33<=15,Lookups!$L21,IF(D$33<=20,Lookups!$N21,Lookups!$P21))))))]]></f>
        <v>0.01</v>
      </c>
      <c r="E51" s="20">
        <f><![CDATA[IF($F$33<=3,Lookups!$C21,IF(F$33<=4,Lookups!$E21,IF(F$33<=5,Lookups!$G21,IF(F$33<=10,$I21,IF(F$33<=15,Lookups!$K21,IF(F$33<=20,Lookups!$M21,Lookups!$O21))))))]]></f>
        <v>0.4</v>
      </c>
      <c r="F51" s="36">
        <f><![CDATA[IF(F$33<=3,Lookups!$D21,IF(F$33<=4,Lookups!$F21,IF(F$33<=5,Lookups!$H21,IF(F$33<=10,$J21,IF(F$33<=15,Lookups!$L21,IF(F$33<=20,Lookups!$N21,Lookups!$P21))))))]]></f>
        <v>0.01</v>
      </c>
      <c r="G51" s="20">
        <f><![CDATA[IF($H$33<=3,Lookups!$C21,IF(H$33<=4,Lookups!$E21,IF(H$33<=5,Lookups!$G21,IF(H$33<=10,$I21,IF(H$33<=15,Lookups!$K21,IF(H$33<=20,Lookups!$M21,Lookups!$O21))))))]]></f>
        <v>0.4</v>
      </c>
      <c r="H51" s="36">
        <f><![CDATA[IF(H$33<=3,Lookups!$D21,IF(H$33<=4,Lookups!$F21,IF(H$33<=5,Lookups!$H21,IF(H$33<=10,$J21,IF(H$33<=15,Lookups!$L21,IF(H$33<=20,Lookups!$N21,Lookups!$P21))))))]]></f>
        <v>0.01</v>
      </c>
      <c r="I51" s="20">
        <f><![CDATA[IF($J$33<=3,Lookups!$C21,IF(J$33<=4,Lookups!$E21,IF(J$33<=5,Lookups!$G21,IF(J$33<=10,$I21,IF(J$33<=15,Lookups!$K21,IF(J$33<=20,Lookups!$M21,Lookups!$O21))))))]]></f>
        <v>0.4</v>
      </c>
      <c r="J51" s="36">
        <f><![CDATA[IF(J$33<=3,Lookups!$D21,IF(J$33<=4,Lookups!$F21,IF(J$33<=5,Lookups!$H21,IF(J$33<=10,$J21,IF(J$33<=15,Lookups!$L21,IF(J$33<=20,Lookups!$N21,Lookups!$P21))))))]]></f>
        <v>0.01</v>
      </c>
      <c r="K51" s="20">
        <f><![CDATA[IF($L$33<=3,Lookups!$C21,IF(L$33<=4,Lookups!$E21,IF(L$33<=5,Lookups!$G21,IF(L$33<=10,$I21,IF(L$33<=15,Lookups!$K21,IF(L$33<=20,Lookups!$M21,Lookups!$O21))))))]]></f>
        <v>0.4</v>
      </c>
      <c r="L51" s="36">
        <f><![CDATA[IF(L$33<=3,Lookups!$D21,IF(L$33<=4,Lookups!$F21,IF(L$33<=5,Lookups!$H21,IF(L$33<=10,$J21,IF(L$33<=15,Lookups!$L21,IF(L$33<=20,Lookups!$N21,Lookups!$P21))))))]]></f>
        <v>0.01</v>
      </c>
      <c r="M51" s="20">
        <f><![CDATA[IF($N$33<=3,Lookups!$C21,IF(N$33<=4,Lookups!$E21,IF(N$33<=5,Lookups!$G21,IF(N$33<=10,$I21,IF(N$33<=15,Lookups!$K21,IF(N$33<=20,Lookups!$M21,Lookups!$O21))))))]]></f>
        <v>0.4</v>
      </c>
      <c r="N51" s="36">
        <f><![CDATA[IF(N$33<=3,Lookups!$D21,IF(N$33<=4,Lookups!$F21,IF(N$33<=5,Lookups!$H21,IF(N$33<=10,$J21,IF(N$33<=15,Lookups!$L21,IF(N$33<=20,Lookups!$N21,Lookups!$P21))))))]]></f>
        <v>0.01</v>
      </c>
      <c r="O51" s="20">
        <f><![CDATA[IF($P$33<=3,Lookups!$C21,IF(P$33<=4,Lookups!$E21,IF(P$33<=5,Lookups!$G21,IF(P$33<=10,$I21,IF(P$33<=15,Lookups!$K21,IF(P$33<=20,Lookups!$M21,Lookups!$O21))))))]]></f>
        <v>0.4</v>
      </c>
      <c r="P51" s="36">
        <f><![CDATA[IF(P$33<=3,Lookups!$D21,IF(P$33<=4,Lookups!$F21,IF(P$33<=5,Lookups!$H21,IF(P$33<=10,$J21,IF(P$33<=15,Lookups!$L21,IF(P$33<=20,Lookups!$N21,Lookups!$P21))))))]]></f>
        <v>0.01</v>
      </c>
      <c r="S51" s="35"/>
    </row>
    <row r="52" spans="2:53" ht="16.05" customHeight="1" x14ac:dyDescent="0.3">
      <c r="B52" s="18">
        <v>1600000</v>
      </c>
      <c r="C52" s="20">
        <f><![CDATA[IF($D$33<=3,Lookups!$C22,IF(D$33<=4,Lookups!$E22,IF(D$33<=5,Lookups!$G22,IF(D$33<=10,$I22,IF(D$33<=15,Lookups!$K22,IF(D$33<=20,Lookups!$M22,Lookups!$O22))))))]]></f>
        <v>0.4</v>
      </c>
      <c r="D52" s="36">
        <f><![CDATA[IF(D$33<=3,Lookups!$D22,IF(D$33<=4,Lookups!$F22,IF(D$33<=5,Lookups!$H22,IF(D$33<=10,$J22,IF(D$33<=15,Lookups!$L22,IF(D$33<=20,Lookups!$N22,Lookups!$P22))))))]]></f>
        <v>0.01</v>
      </c>
      <c r="E52" s="20">
        <f><![CDATA[IF($F$33<=3,Lookups!$C22,IF(F$33<=4,Lookups!$E22,IF(F$33<=5,Lookups!$G22,IF(F$33<=10,$I22,IF(F$33<=15,Lookups!$K22,IF(F$33<=20,Lookups!$M22,Lookups!$O22))))))]]></f>
        <v>0.4</v>
      </c>
      <c r="F52" s="36">
        <f><![CDATA[IF(F$33<=3,Lookups!$D22,IF(F$33<=4,Lookups!$F22,IF(F$33<=5,Lookups!$H22,IF(F$33<=10,$J22,IF(F$33<=15,Lookups!$L22,IF(F$33<=20,Lookups!$N22,Lookups!$P22))))))]]></f>
        <v>0.01</v>
      </c>
      <c r="G52" s="20">
        <f><![CDATA[IF($H$33<=3,Lookups!$C22,IF(H$33<=4,Lookups!$E22,IF(H$33<=5,Lookups!$G22,IF(H$33<=10,$I22,IF(H$33<=15,Lookups!$K22,IF(H$33<=20,Lookups!$M22,Lookups!$O22))))))]]></f>
        <v>0.4</v>
      </c>
      <c r="H52" s="36">
        <f><![CDATA[IF(H$33<=3,Lookups!$D22,IF(H$33<=4,Lookups!$F22,IF(H$33<=5,Lookups!$H22,IF(H$33<=10,$J22,IF(H$33<=15,Lookups!$L22,IF(H$33<=20,Lookups!$N22,Lookups!$P22))))))]]></f>
        <v>0.01</v>
      </c>
      <c r="I52" s="20">
        <f><![CDATA[IF($J$33<=3,Lookups!$C22,IF(J$33<=4,Lookups!$E22,IF(J$33<=5,Lookups!$G22,IF(J$33<=10,$I22,IF(J$33<=15,Lookups!$K22,IF(J$33<=20,Lookups!$M22,Lookups!$O22))))))]]></f>
        <v>0.4</v>
      </c>
      <c r="J52" s="36">
        <f><![CDATA[IF(J$33<=3,Lookups!$D22,IF(J$33<=4,Lookups!$F22,IF(J$33<=5,Lookups!$H22,IF(J$33<=10,$J22,IF(J$33<=15,Lookups!$L22,IF(J$33<=20,Lookups!$N22,Lookups!$P22))))))]]></f>
        <v>0.01</v>
      </c>
      <c r="K52" s="20">
        <f><![CDATA[IF($L$33<=3,Lookups!$C22,IF(L$33<=4,Lookups!$E22,IF(L$33<=5,Lookups!$G22,IF(L$33<=10,$I22,IF(L$33<=15,Lookups!$K22,IF(L$33<=20,Lookups!$M22,Lookups!$O22))))))]]></f>
        <v>0.4</v>
      </c>
      <c r="L52" s="36">
        <f><![CDATA[IF(L$33<=3,Lookups!$D22,IF(L$33<=4,Lookups!$F22,IF(L$33<=5,Lookups!$H22,IF(L$33<=10,$J22,IF(L$33<=15,Lookups!$L22,IF(L$33<=20,Lookups!$N22,Lookups!$P22))))))]]></f>
        <v>0.01</v>
      </c>
      <c r="M52" s="20">
        <f><![CDATA[IF($N$33<=3,Lookups!$C22,IF(N$33<=4,Lookups!$E22,IF(N$33<=5,Lookups!$G22,IF(N$33<=10,$I22,IF(N$33<=15,Lookups!$K22,IF(N$33<=20,Lookups!$M22,Lookups!$O22))))))]]></f>
        <v>0.4</v>
      </c>
      <c r="N52" s="36">
        <f><![CDATA[IF(N$33<=3,Lookups!$D22,IF(N$33<=4,Lookups!$F22,IF(N$33<=5,Lookups!$H22,IF(N$33<=10,$J22,IF(N$33<=15,Lookups!$L22,IF(N$33<=20,Lookups!$N22,Lookups!$P22))))))]]></f>
        <v>0.01</v>
      </c>
      <c r="O52" s="20">
        <f><![CDATA[IF($P$33<=3,Lookups!$C22,IF(P$33<=4,Lookups!$E22,IF(P$33<=5,Lookups!$G22,IF(P$33<=10,$I22,IF(P$33<=15,Lookups!$K22,IF(P$33<=20,Lookups!$M22,Lookups!$O22))))))]]></f>
        <v>0.4</v>
      </c>
      <c r="P52" s="36">
        <f><![CDATA[IF(P$33<=3,Lookups!$D22,IF(P$33<=4,Lookups!$F22,IF(P$33<=5,Lookups!$H22,IF(P$33<=10,$J22,IF(P$33<=15,Lookups!$L22,IF(P$33<=20,Lookups!$N22,Lookups!$P22))))))]]></f>
        <v>0.01</v>
      </c>
      <c r="S52" s="35"/>
      <c r="V52" s="209" t="s">
        <v>50</v>
      </c>
      <c r="W52" s="210"/>
      <c r="X52" s="211"/>
      <c r="Y52" s="29"/>
      <c r="Z52" s="208" t="s">
        <v>50</v>
      </c>
      <c r="AA52" s="208"/>
      <c r="AB52" s="208"/>
      <c r="AM52" t="s" s="0">
        <v>54</v>
      </c>
      <c r="AO52" s="27">
        <v>0.2</v>
      </c>
    </row>
    <row r="53" spans="2:53" x14ac:dyDescent="0.25">
      <c r="B53" s="18">
        <v>1700000</v>
      </c>
      <c r="C53" s="20">
        <f><![CDATA[IF($D$33<=3,Lookups!$C23,IF(D$33<=4,Lookups!$E23,IF(D$33<=5,Lookups!$G23,IF(D$33<=10,$I23,IF(D$33<=15,Lookups!$K23,IF(D$33<=20,Lookups!$M23,Lookups!$O23))))))]]></f>
        <v>0.4</v>
      </c>
      <c r="D53" s="36">
        <f><![CDATA[IF(D$33<=3,Lookups!$D23,IF(D$33<=4,Lookups!$F23,IF(D$33<=5,Lookups!$H23,IF(D$33<=10,$J23,IF(D$33<=15,Lookups!$L23,IF(D$33<=20,Lookups!$N23,Lookups!$P23))))))]]></f>
        <v>0.01</v>
      </c>
      <c r="E53" s="20">
        <f><![CDATA[IF($F$33<=3,Lookups!$C23,IF(F$33<=4,Lookups!$E23,IF(F$33<=5,Lookups!$G23,IF(F$33<=10,$I23,IF(F$33<=15,Lookups!$K23,IF(F$33<=20,Lookups!$M23,Lookups!$O23))))))]]></f>
        <v>0.4</v>
      </c>
      <c r="F53" s="36">
        <f><![CDATA[IF(F$33<=3,Lookups!$D23,IF(F$33<=4,Lookups!$F23,IF(F$33<=5,Lookups!$H23,IF(F$33<=10,$J23,IF(F$33<=15,Lookups!$L23,IF(F$33<=20,Lookups!$N23,Lookups!$P23))))))]]></f>
        <v>0.01</v>
      </c>
      <c r="G53" s="20">
        <f><![CDATA[IF($H$33<=3,Lookups!$C23,IF(H$33<=4,Lookups!$E23,IF(H$33<=5,Lookups!$G23,IF(H$33<=10,$I23,IF(H$33<=15,Lookups!$K23,IF(H$33<=20,Lookups!$M23,Lookups!$O23))))))]]></f>
        <v>0.4</v>
      </c>
      <c r="H53" s="36">
        <f><![CDATA[IF(H$33<=3,Lookups!$D23,IF(H$33<=4,Lookups!$F23,IF(H$33<=5,Lookups!$H23,IF(H$33<=10,$J23,IF(H$33<=15,Lookups!$L23,IF(H$33<=20,Lookups!$N23,Lookups!$P23))))))]]></f>
        <v>0.01</v>
      </c>
      <c r="I53" s="20">
        <f><![CDATA[IF($J$33<=3,Lookups!$C23,IF(J$33<=4,Lookups!$E23,IF(J$33<=5,Lookups!$G23,IF(J$33<=10,$I23,IF(J$33<=15,Lookups!$K23,IF(J$33<=20,Lookups!$M23,Lookups!$O23))))))]]></f>
        <v>0.4</v>
      </c>
      <c r="J53" s="36">
        <f><![CDATA[IF(J$33<=3,Lookups!$D23,IF(J$33<=4,Lookups!$F23,IF(J$33<=5,Lookups!$H23,IF(J$33<=10,$J23,IF(J$33<=15,Lookups!$L23,IF(J$33<=20,Lookups!$N23,Lookups!$P23))))))]]></f>
        <v>0.01</v>
      </c>
      <c r="K53" s="20">
        <f><![CDATA[IF($L$33<=3,Lookups!$C23,IF(L$33<=4,Lookups!$E23,IF(L$33<=5,Lookups!$G23,IF(L$33<=10,$I23,IF(L$33<=15,Lookups!$K23,IF(L$33<=20,Lookups!$M23,Lookups!$O23))))))]]></f>
        <v>0.4</v>
      </c>
      <c r="L53" s="36">
        <f><![CDATA[IF(L$33<=3,Lookups!$D23,IF(L$33<=4,Lookups!$F23,IF(L$33<=5,Lookups!$H23,IF(L$33<=10,$J23,IF(L$33<=15,Lookups!$L23,IF(L$33<=20,Lookups!$N23,Lookups!$P23))))))]]></f>
        <v>0.01</v>
      </c>
      <c r="M53" s="20">
        <f><![CDATA[IF($N$33<=3,Lookups!$C23,IF(N$33<=4,Lookups!$E23,IF(N$33<=5,Lookups!$G23,IF(N$33<=10,$I23,IF(N$33<=15,Lookups!$K23,IF(N$33<=20,Lookups!$M23,Lookups!$O23))))))]]></f>
        <v>0.4</v>
      </c>
      <c r="N53" s="36">
        <f><![CDATA[IF(N$33<=3,Lookups!$D23,IF(N$33<=4,Lookups!$F23,IF(N$33<=5,Lookups!$H23,IF(N$33<=10,$J23,IF(N$33<=15,Lookups!$L23,IF(N$33<=20,Lookups!$N23,Lookups!$P23))))))]]></f>
        <v>0.01</v>
      </c>
      <c r="O53" s="20">
        <f><![CDATA[IF($P$33<=3,Lookups!$C23,IF(P$33<=4,Lookups!$E23,IF(P$33<=5,Lookups!$G23,IF(P$33<=10,$I23,IF(P$33<=15,Lookups!$K23,IF(P$33<=20,Lookups!$M23,Lookups!$O23))))))]]></f>
        <v>0.4</v>
      </c>
      <c r="P53" s="36">
        <f><![CDATA[IF(P$33<=3,Lookups!$D23,IF(P$33<=4,Lookups!$F23,IF(P$33<=5,Lookups!$H23,IF(P$33<=10,$J23,IF(P$33<=15,Lookups!$L23,IF(P$33<=20,Lookups!$N23,Lookups!$P23))))))]]></f>
        <v>0.01</v>
      </c>
      <c r="S53" s="35"/>
      <c r="U53" t="s" s="0">
        <v>25</v>
      </c>
      <c r="V53" s="24"/>
      <c r="W53" s="25" t="s">
        <v>51</v>
      </c>
      <c r="X53" s="26" t="s">
        <v>52</v>
      </c>
      <c r="Z53" s="1"/>
      <c r="AA53" s="1" t="s">
        <v>51</v>
      </c>
      <c r="AB53" s="1" t="s">
        <v>52</v>
      </c>
      <c r="AM53" t="s" s="0">
        <v>55</v>
      </c>
      <c r="AP53" s="28">
        <v>10</v>
      </c>
    </row>
    <row r="54" spans="2:53" x14ac:dyDescent="0.25">
      <c r="B54" s="18">
        <v>1800000</v>
      </c>
      <c r="C54" s="20">
        <f><![CDATA[IF($D$33<=3,Lookups!$C24,IF(D$33<=4,Lookups!$E24,IF(D$33<=5,Lookups!$G24,IF(D$33<=10,$I24,IF(D$33<=15,Lookups!$K24,IF(D$33<=20,Lookups!$M24,Lookups!$O24))))))]]></f>
        <v>0.4</v>
      </c>
      <c r="D54" s="36">
        <f><![CDATA[IF(D$33<=3,Lookups!$D24,IF(D$33<=4,Lookups!$F24,IF(D$33<=5,Lookups!$H24,IF(D$33<=10,$J24,IF(D$33<=15,Lookups!$L24,IF(D$33<=20,Lookups!$N24,Lookups!$P24))))))]]></f>
        <v>0.01</v>
      </c>
      <c r="E54" s="20">
        <f><![CDATA[IF($F$33<=3,Lookups!$C24,IF(F$33<=4,Lookups!$E24,IF(F$33<=5,Lookups!$G24,IF(F$33<=10,$I24,IF(F$33<=15,Lookups!$K24,IF(F$33<=20,Lookups!$M24,Lookups!$O24))))))]]></f>
        <v>0.4</v>
      </c>
      <c r="F54" s="36">
        <f><![CDATA[IF(F$33<=3,Lookups!$D24,IF(F$33<=4,Lookups!$F24,IF(F$33<=5,Lookups!$H24,IF(F$33<=10,$J24,IF(F$33<=15,Lookups!$L24,IF(F$33<=20,Lookups!$N24,Lookups!$P24))))))]]></f>
        <v>0.01</v>
      </c>
      <c r="G54" s="20">
        <f><![CDATA[IF($H$33<=3,Lookups!$C24,IF(H$33<=4,Lookups!$E24,IF(H$33<=5,Lookups!$G24,IF(H$33<=10,$I24,IF(H$33<=15,Lookups!$K24,IF(H$33<=20,Lookups!$M24,Lookups!$O24))))))]]></f>
        <v>0.4</v>
      </c>
      <c r="H54" s="36">
        <f><![CDATA[IF(H$33<=3,Lookups!$D24,IF(H$33<=4,Lookups!$F24,IF(H$33<=5,Lookups!$H24,IF(H$33<=10,$J24,IF(H$33<=15,Lookups!$L24,IF(H$33<=20,Lookups!$N24,Lookups!$P24))))))]]></f>
        <v>0.01</v>
      </c>
      <c r="I54" s="20">
        <f><![CDATA[IF($J$33<=3,Lookups!$C24,IF(J$33<=4,Lookups!$E24,IF(J$33<=5,Lookups!$G24,IF(J$33<=10,$I24,IF(J$33<=15,Lookups!$K24,IF(J$33<=20,Lookups!$M24,Lookups!$O24))))))]]></f>
        <v>0.4</v>
      </c>
      <c r="J54" s="36">
        <f><![CDATA[IF(J$33<=3,Lookups!$D24,IF(J$33<=4,Lookups!$F24,IF(J$33<=5,Lookups!$H24,IF(J$33<=10,$J24,IF(J$33<=15,Lookups!$L24,IF(J$33<=20,Lookups!$N24,Lookups!$P24))))))]]></f>
        <v>0.01</v>
      </c>
      <c r="K54" s="20">
        <f><![CDATA[IF($L$33<=3,Lookups!$C24,IF(L$33<=4,Lookups!$E24,IF(L$33<=5,Lookups!$G24,IF(L$33<=10,$I24,IF(L$33<=15,Lookups!$K24,IF(L$33<=20,Lookups!$M24,Lookups!$O24))))))]]></f>
        <v>0.4</v>
      </c>
      <c r="L54" s="36">
        <f><![CDATA[IF(L$33<=3,Lookups!$D24,IF(L$33<=4,Lookups!$F24,IF(L$33<=5,Lookups!$H24,IF(L$33<=10,$J24,IF(L$33<=15,Lookups!$L24,IF(L$33<=20,Lookups!$N24,Lookups!$P24))))))]]></f>
        <v>0.01</v>
      </c>
      <c r="M54" s="20">
        <f><![CDATA[IF($N$33<=3,Lookups!$C24,IF(N$33<=4,Lookups!$E24,IF(N$33<=5,Lookups!$G24,IF(N$33<=10,$I24,IF(N$33<=15,Lookups!$K24,IF(N$33<=20,Lookups!$M24,Lookups!$O24))))))]]></f>
        <v>0.4</v>
      </c>
      <c r="N54" s="36">
        <f><![CDATA[IF(N$33<=3,Lookups!$D24,IF(N$33<=4,Lookups!$F24,IF(N$33<=5,Lookups!$H24,IF(N$33<=10,$J24,IF(N$33<=15,Lookups!$L24,IF(N$33<=20,Lookups!$N24,Lookups!$P24))))))]]></f>
        <v>0.01</v>
      </c>
      <c r="O54" s="20">
        <f><![CDATA[IF($P$33<=3,Lookups!$C24,IF(P$33<=4,Lookups!$E24,IF(P$33<=5,Lookups!$G24,IF(P$33<=10,$I24,IF(P$33<=15,Lookups!$K24,IF(P$33<=20,Lookups!$M24,Lookups!$O24))))))]]></f>
        <v>0.4</v>
      </c>
      <c r="P54" s="36">
        <f><![CDATA[IF(P$33<=3,Lookups!$D24,IF(P$33<=4,Lookups!$F24,IF(P$33<=5,Lookups!$H24,IF(P$33<=10,$J24,IF(P$33<=15,Lookups!$L24,IF(P$33<=20,Lookups!$N24,Lookups!$P24))))))]]></f>
        <v>0.01</v>
      </c>
      <c r="S54" s="35"/>
      <c r="V54" s="21">
        <f>Receiving!D58</f>
        <v>0</v>
      </c>
      <c r="W54" s="22">
        <f>LOOKUP($V54,Lookups!$B$86:$B$107,Lookups!$C$86:$C$107)</f>
        <v>0.25</v>
      </c>
      <c r="X54" s="23">
        <f>LOOKUP($V54,Lookups!$B$86:$B$107,Lookups!$D$86:$D$107)</f>
        <v>0</v>
      </c>
      <c r="Z54" s="21">
        <f>Receiving!K58</f>
        <v>0</v>
      </c>
      <c r="AA54" s="22">
        <f>LOOKUP($Z54,Lookups!$B$86:$B$107,Lookups!$C$86:$C$107)</f>
        <v>0.25</v>
      </c>
      <c r="AB54" s="23">
        <f>LOOKUP($Z54,Lookups!$B$86:$B$107,Lookups!$D$86:$D$107)</f>
        <v>0</v>
      </c>
      <c r="AM54" t="s" s="0">
        <v>10</v>
      </c>
      <c r="AP54" s="125">
        <v>0</v>
      </c>
      <c r="AQ54" s="27">
        <v>0.1</v>
      </c>
    </row>
    <row r="55" spans="2:53" x14ac:dyDescent="0.25">
      <c r="B55" s="18">
        <v>1900000</v>
      </c>
      <c r="C55" s="20">
        <f><![CDATA[IF($D$33<=3,Lookups!$C25,IF(D$33<=4,Lookups!$E25,IF(D$33<=5,Lookups!$G25,IF(D$33<=10,$I25,IF(D$33<=15,Lookups!$K25,IF(D$33<=20,Lookups!$M25,Lookups!$O25))))))]]></f>
        <v>0.4</v>
      </c>
      <c r="D55" s="36">
        <f><![CDATA[IF(D$33<=3,Lookups!$D25,IF(D$33<=4,Lookups!$F25,IF(D$33<=5,Lookups!$H25,IF(D$33<=10,$J25,IF(D$33<=15,Lookups!$L25,IF(D$33<=20,Lookups!$N25,Lookups!$P25))))))]]></f>
        <v>0.01</v>
      </c>
      <c r="E55" s="20">
        <f><![CDATA[IF($F$33<=3,Lookups!$C25,IF(F$33<=4,Lookups!$E25,IF(F$33<=5,Lookups!$G25,IF(F$33<=10,$I25,IF(F$33<=15,Lookups!$K25,IF(F$33<=20,Lookups!$M25,Lookups!$O25))))))]]></f>
        <v>0.4</v>
      </c>
      <c r="F55" s="36">
        <f><![CDATA[IF(F$33<=3,Lookups!$D25,IF(F$33<=4,Lookups!$F25,IF(F$33<=5,Lookups!$H25,IF(F$33<=10,$J25,IF(F$33<=15,Lookups!$L25,IF(F$33<=20,Lookups!$N25,Lookups!$P25))))))]]></f>
        <v>0.01</v>
      </c>
      <c r="G55" s="20">
        <f><![CDATA[IF($H$33<=3,Lookups!$C25,IF(H$33<=4,Lookups!$E25,IF(H$33<=5,Lookups!$G25,IF(H$33<=10,$I25,IF(H$33<=15,Lookups!$K25,IF(H$33<=20,Lookups!$M25,Lookups!$O25))))))]]></f>
        <v>0.4</v>
      </c>
      <c r="H55" s="36">
        <f><![CDATA[IF(H$33<=3,Lookups!$D25,IF(H$33<=4,Lookups!$F25,IF(H$33<=5,Lookups!$H25,IF(H$33<=10,$J25,IF(H$33<=15,Lookups!$L25,IF(H$33<=20,Lookups!$N25,Lookups!$P25))))))]]></f>
        <v>0.01</v>
      </c>
      <c r="I55" s="20">
        <f><![CDATA[IF($J$33<=3,Lookups!$C25,IF(J$33<=4,Lookups!$E25,IF(J$33<=5,Lookups!$G25,IF(J$33<=10,$I25,IF(J$33<=15,Lookups!$K25,IF(J$33<=20,Lookups!$M25,Lookups!$O25))))))]]></f>
        <v>0.4</v>
      </c>
      <c r="J55" s="36">
        <f><![CDATA[IF(J$33<=3,Lookups!$D25,IF(J$33<=4,Lookups!$F25,IF(J$33<=5,Lookups!$H25,IF(J$33<=10,$J25,IF(J$33<=15,Lookups!$L25,IF(J$33<=20,Lookups!$N25,Lookups!$P25))))))]]></f>
        <v>0.01</v>
      </c>
      <c r="K55" s="20">
        <f><![CDATA[IF($L$33<=3,Lookups!$C25,IF(L$33<=4,Lookups!$E25,IF(L$33<=5,Lookups!$G25,IF(L$33<=10,$I25,IF(L$33<=15,Lookups!$K25,IF(L$33<=20,Lookups!$M25,Lookups!$O25))))))]]></f>
        <v>0.4</v>
      </c>
      <c r="L55" s="36">
        <f><![CDATA[IF(L$33<=3,Lookups!$D25,IF(L$33<=4,Lookups!$F25,IF(L$33<=5,Lookups!$H25,IF(L$33<=10,$J25,IF(L$33<=15,Lookups!$L25,IF(L$33<=20,Lookups!$N25,Lookups!$P25))))))]]></f>
        <v>0.01</v>
      </c>
      <c r="M55" s="20">
        <f><![CDATA[IF($N$33<=3,Lookups!$C25,IF(N$33<=4,Lookups!$E25,IF(N$33<=5,Lookups!$G25,IF(N$33<=10,$I25,IF(N$33<=15,Lookups!$K25,IF(N$33<=20,Lookups!$M25,Lookups!$O25))))))]]></f>
        <v>0.4</v>
      </c>
      <c r="N55" s="36">
        <f><![CDATA[IF(N$33<=3,Lookups!$D25,IF(N$33<=4,Lookups!$F25,IF(N$33<=5,Lookups!$H25,IF(N$33<=10,$J25,IF(N$33<=15,Lookups!$L25,IF(N$33<=20,Lookups!$N25,Lookups!$P25))))))]]></f>
        <v>0.01</v>
      </c>
      <c r="O55" s="20">
        <f><![CDATA[IF($P$33<=3,Lookups!$C25,IF(P$33<=4,Lookups!$E25,IF(P$33<=5,Lookups!$G25,IF(P$33<=10,$I25,IF(P$33<=15,Lookups!$K25,IF(P$33<=20,Lookups!$M25,Lookups!$O25))))))]]></f>
        <v>0.4</v>
      </c>
      <c r="P55" s="36">
        <f><![CDATA[IF(P$33<=3,Lookups!$D25,IF(P$33<=4,Lookups!$F25,IF(P$33<=5,Lookups!$H25,IF(P$33<=10,$J25,IF(P$33<=15,Lookups!$L25,IF(P$33<=20,Lookups!$N25,Lookups!$P25))))))]]></f>
        <v>0.01</v>
      </c>
      <c r="V55" s="21">
        <f>Receiving!D59</f>
        <v>0</v>
      </c>
      <c r="W55" s="22">
        <f>LOOKUP($V55,Lookups!$B$86:$B$107,Lookups!$E$86:$E$107)</f>
        <v>0.25</v>
      </c>
      <c r="X55" s="23">
        <f>LOOKUP($V55,Lookups!$B$86:$B$107,Lookups!$F$86:$F$107)</f>
        <v>0</v>
      </c>
      <c r="Z55" s="21">
        <f>Receiving!K59</f>
        <v>0</v>
      </c>
      <c r="AA55" s="22">
        <f>LOOKUP($Z55,Lookups!$B$86:$B$107,Lookups!$E$86:$E$107)</f>
        <v>0.25</v>
      </c>
      <c r="AB55" s="23">
        <f>LOOKUP($Z55,Lookups!$B$86:$B$107,Lookups!$F$86:$F$107)</f>
        <v>0</v>
      </c>
    </row>
    <row r="56" spans="2:53" x14ac:dyDescent="0.25">
      <c r="V56" s="21">
        <f>Receiving!D60</f>
        <v>0</v>
      </c>
      <c r="W56" s="22">
        <f>LOOKUP($V56,Lookups!$B$86:$B$107,Lookups!$G$86:$G$107)</f>
        <v>0.25</v>
      </c>
      <c r="X56" s="23">
        <f>LOOKUP($V56,Lookups!$B$86:$B$107,Lookups!$H$86:$H$107)</f>
        <v>0</v>
      </c>
      <c r="Z56" s="21">
        <f>Receiving!K60</f>
        <v>0</v>
      </c>
      <c r="AA56" s="22">
        <f>LOOKUP($Z56,Lookups!$B$86:$B$107,Lookups!$G$86:$G$107)</f>
        <v>0.25</v>
      </c>
      <c r="AB56" s="23">
        <f>LOOKUP($Z56,Lookups!$B$86:$B$107,Lookups!$H$86:$H$107)</f>
        <v>0</v>
      </c>
    </row>
    <row r="57" spans="2:53" x14ac:dyDescent="0.25">
      <c r="V57" s="21">
        <f>Receiving!D61</f>
        <v>0</v>
      </c>
      <c r="W57" s="22">
        <f>LOOKUP($V57,Lookups!$B$86:$B$107,Lookups!$I$86:$I$107)</f>
        <v>0.25</v>
      </c>
      <c r="X57" s="23">
        <f>LOOKUP($V57,Lookups!$B$86:$B$107,Lookups!$J$86:$J$107)</f>
        <v>0</v>
      </c>
      <c r="Z57" s="21">
        <f>Receiving!K61</f>
        <v>0</v>
      </c>
      <c r="AA57" s="22">
        <f>LOOKUP($Z57,Lookups!$B$86:$B$107,Lookups!$I$86:$I$107)</f>
        <v>0.25</v>
      </c>
      <c r="AB57" s="23">
        <f>LOOKUP($Z57,Lookups!$B$86:$B$107,Lookups!$J$86:$J$107)</f>
        <v>0</v>
      </c>
      <c r="AS57" t="s" s="0">
        <v>56</v>
      </c>
    </row>
    <row r="58" spans="2:53" x14ac:dyDescent="0.25">
      <c r="V58" s="21">
        <f>Receiving!D61</f>
        <v>0</v>
      </c>
      <c r="W58" s="22">
        <f>LOOKUP($V58,Lookups!$B$86:$B$107,Lookups!$K$86:$K$107)</f>
        <v>0.25</v>
      </c>
      <c r="X58" s="23">
        <f>LOOKUP($V58,Lookups!$B$86:$B$107,Lookups!$L$86:$L$107)</f>
        <v>0</v>
      </c>
      <c r="Z58" s="21">
        <f>Receiving!K62</f>
        <v>0</v>
      </c>
      <c r="AA58" s="22">
        <f>LOOKUP($Z58,Lookups!$B$86:$B$107,Lookups!$K$86:$K$107)</f>
        <v>0.25</v>
      </c>
      <c r="AB58" s="23">
        <f>LOOKUP($Z58,Lookups!$B$86:$B$107,Lookups!$L$86:$L$107)</f>
        <v>0</v>
      </c>
      <c r="AT58" t="s" s="0">
        <v>57</v>
      </c>
      <c r="AU58" t="s" s="0">
        <v>58</v>
      </c>
    </row>
    <row r="59" spans="2:53" x14ac:dyDescent="0.25">
      <c r="C59" t="s" s="0">
        <v>7</v>
      </c>
      <c r="D59" s="0">
        <f>+Inputs!C28</f>
        <v>0</v>
      </c>
      <c r="F59" s="0">
        <f>+Inputs!C28+1</f>
        <v>1</v>
      </c>
      <c r="H59" s="0">
        <f>+Inputs!C28+2</f>
        <v>2</v>
      </c>
      <c r="J59" s="0">
        <f>+Inputs!C28+3</f>
        <v>3</v>
      </c>
      <c r="L59" s="0">
        <f>+Inputs!C28+4</f>
        <v>4</v>
      </c>
      <c r="N59" s="133">
        <f>+Inputs!C28+5</f>
        <v>5</v>
      </c>
      <c r="P59" s="133">
        <f>+Inputs!C28+6</f>
        <v>6</v>
      </c>
      <c r="V59" s="21">
        <f>Receiving!D61</f>
        <v>0</v>
      </c>
      <c r="W59" s="22">
        <f>LOOKUP($V59,Lookups!$B$86:$B$107,Lookups!$M$86:$M$107)</f>
        <v>0.25</v>
      </c>
      <c r="X59" s="23">
        <f>LOOKUP($V59,Lookups!$B$86:$B$107,Lookups!$N$86:$N$107)</f>
        <v>0</v>
      </c>
      <c r="Z59" s="21">
        <f>Receiving!K63</f>
        <v>0</v>
      </c>
      <c r="AA59" s="22">
        <f>LOOKUP($Z59,Lookups!$B$86:$B$107,Lookups!$M$86:$M$107)</f>
        <v>0.25</v>
      </c>
      <c r="AB59" s="23">
        <f>LOOKUP($Z59,Lookups!$B$86:$B$107,Lookups!$N$86:$N$107)</f>
        <v>0</v>
      </c>
      <c r="AT59" s="33">
        <v>1</v>
      </c>
      <c r="AU59" s="31">
        <f>(Inputs!$C$72/AT59)</f>
        <v>1000000</v>
      </c>
      <c r="AV59" s="34">
        <v>0</v>
      </c>
      <c r="AW59" s="34">
        <v>0</v>
      </c>
      <c r="AX59" s="34">
        <v>0</v>
      </c>
      <c r="AY59" s="34">
        <v>0</v>
      </c>
      <c r="AZ59" s="34">
        <v>0</v>
      </c>
      <c r="BA59" s="34">
        <v>0</v>
      </c>
    </row>
    <row r="60" spans="2:53" x14ac:dyDescent="0.25">
      <c r="B60" s="9" t="s">
        <v>33</v>
      </c>
      <c r="C60" s="12" t="s">
        <v>37</v>
      </c>
      <c r="D60" s="11"/>
      <c r="E60" s="12" t="s">
        <v>37</v>
      </c>
      <c r="F60" s="11"/>
      <c r="G60" s="12" t="s">
        <v>37</v>
      </c>
      <c r="H60" s="11"/>
      <c r="I60" s="12" t="s">
        <v>37</v>
      </c>
      <c r="J60" s="11"/>
      <c r="K60" s="12" t="s">
        <v>37</v>
      </c>
      <c r="L60" s="11"/>
      <c r="M60" s="12" t="s">
        <v>37</v>
      </c>
      <c r="N60" s="11"/>
      <c r="O60" s="12" t="s">
        <v>37</v>
      </c>
      <c r="P60" s="11"/>
      <c r="V60" s="21">
        <f>Receiving!D62</f>
        <v>0</v>
      </c>
      <c r="W60" s="22">
        <f>LOOKUP($V60,Lookups!$B$86:$B$107,Lookups!$O$86:$O$107)</f>
        <v>0.25</v>
      </c>
      <c r="X60" s="23">
        <f>LOOKUP($V60,Lookups!$B$86:$B$107,Lookups!$P$86:$P$107)</f>
        <v>0</v>
      </c>
      <c r="Z60" s="21">
        <f>Receiving!K64</f>
        <v>0</v>
      </c>
      <c r="AA60" s="22">
        <f>LOOKUP($Z60,Lookups!$B$86:$B$107,Lookups!$O$86:$O$107)</f>
        <v>0.25</v>
      </c>
      <c r="AB60" s="23">
        <f>LOOKUP($Z60,Lookups!$B$86:$B$107,Lookups!$P$86:$P$107)</f>
        <v>0</v>
      </c>
      <c r="AT60" s="33">
        <v>2</v>
      </c>
      <c r="AU60" s="31">
        <f>(Inputs!$C$72/AT60)</f>
        <v>500000</v>
      </c>
      <c r="AV60" s="31">
        <f>AU60</f>
        <v>500000</v>
      </c>
      <c r="AW60" s="34">
        <v>0</v>
      </c>
      <c r="AX60" s="34">
        <v>0</v>
      </c>
      <c r="AY60" s="34">
        <v>0</v>
      </c>
      <c r="AZ60" s="34">
        <v>0</v>
      </c>
      <c r="BA60" s="34">
        <v>0</v>
      </c>
    </row>
    <row r="61" spans="2:53" x14ac:dyDescent="0.25">
      <c r="B61" s="13" t="s">
        <v>34</v>
      </c>
      <c r="C61" s="206" t="s">
        <v>0</v>
      </c>
      <c r="D61" s="207"/>
      <c r="E61" s="206" t="s">
        <v>1</v>
      </c>
      <c r="F61" s="207"/>
      <c r="G61" s="206" t="s">
        <v>2</v>
      </c>
      <c r="H61" s="207"/>
      <c r="I61" s="206" t="s">
        <v>3</v>
      </c>
      <c r="J61" s="207"/>
      <c r="K61" s="206" t="s">
        <v>4</v>
      </c>
      <c r="L61" s="207"/>
      <c r="M61" s="206" t="s">
        <v>16</v>
      </c>
      <c r="N61" s="207"/>
      <c r="O61" s="206" t="s">
        <v>17</v>
      </c>
      <c r="P61" s="207"/>
      <c r="R61" t="s" s="0">
        <v>24</v>
      </c>
      <c r="AT61" s="33">
        <v>3</v>
      </c>
      <c r="AU61" s="31">
        <f>(Inputs!$C$72/AT61)</f>
        <v>333333.33333333331</v>
      </c>
      <c r="AV61" s="31">
        <f>AU61</f>
        <v>333333.33333333331</v>
      </c>
      <c r="AW61" s="31">
        <f>AV61</f>
        <v>333333.33333333331</v>
      </c>
      <c r="AX61" s="34">
        <v>0</v>
      </c>
      <c r="AY61" s="34">
        <v>0</v>
      </c>
      <c r="AZ61" s="34">
        <v>0</v>
      </c>
      <c r="BA61" s="34">
        <v>0</v>
      </c>
    </row>
    <row r="62" spans="2:53" ht="16.05" customHeight="1" x14ac:dyDescent="0.3">
      <c r="B62" s="18">
        <v>0</v>
      </c>
      <c r="C62" s="20">
        <f><![CDATA[IF($D$59<=3,Lookups!$C6,IF(D$59<=4,Lookups!$E6,IF(D$59<=5,Lookups!$G6,IF(D$59<=10,$I6,IF(D$59<=15,Lookups!$K6,IF(D$59<=20,Lookups!$M6,Lookups!$O6))))))]]></f>
        <v>0.25</v>
      </c>
      <c r="D62" s="36">
        <f><![CDATA[IF(D$59<=3,Lookups!$D6,IF(D$59<=4,Lookups!$F6,IF(D$59<=5,Lookups!$H6,IF(D$59<=10,$J6,IF(D$59<=15,Lookups!$L6,IF(D$59<=20,Lookups!$N6,Lookups!$P6))))))]]></f>
        <v>0</v>
      </c>
      <c r="E62" s="20">
        <f><![CDATA[IF($F$59<=3,Lookups!$C6,IF(F$59<=4,Lookups!$E6,IF(F$59<=5,Lookups!$G6,IF(F$59<=10,$I6,IF(F$59<=15,Lookups!$K6,IF(F$59<=20,Lookups!$M6,Lookups!$O6))))))]]></f>
        <v>0.25</v>
      </c>
      <c r="F62" s="36">
        <f><![CDATA[IF(F$59<=3,Lookups!$D6,IF(F$59<=4,Lookups!$F6,IF(F$59<=5,Lookups!$H6,IF(F$59<=10,$J6,IF(F$59<=15,Lookups!$L6,IF(F$59<=20,Lookups!$N6,Lookups!$P6))))))]]></f>
        <v>0</v>
      </c>
      <c r="G62" s="20">
        <f><![CDATA[IF($H$59<=3,Lookups!$C6,IF(H$59<=4,Lookups!$E6,IF(H$59<=5,Lookups!$G6,IF(H$59<=10,$I6,IF(H$59<=15,Lookups!$K6,IF(H$59<=20,Lookups!$M6,Lookups!$O6))))))]]></f>
        <v>0.25</v>
      </c>
      <c r="H62" s="36">
        <f><![CDATA[IF(H$59<=3,Lookups!$D6,IF(H$59<=4,Lookups!$F6,IF(H$59<=5,Lookups!$H6,IF(H$59<=10,$J6,IF(H$59<=15,Lookups!$L6,IF(H$59<=20,Lookups!$N6,Lookups!$P6))))))]]></f>
        <v>0</v>
      </c>
      <c r="I62" s="20">
        <f><![CDATA[IF($J$59<=3,Lookups!$C6,IF(J$59<=4,Lookups!$E6,IF(J$59<=5,Lookups!$G6,IF(J$59<=10,$I6,IF(J$59<=15,Lookups!$K6,IF(J$59<=20,Lookups!$M6,Lookups!$O6))))))]]></f>
        <v>0.25</v>
      </c>
      <c r="J62" s="36">
        <f><![CDATA[IF(J$59<=3,Lookups!$D6,IF(J$59<=4,Lookups!$F6,IF(J$59<=5,Lookups!$H6,IF(J$59<=10,$J6,IF(J$59<=15,Lookups!$L6,IF(J$59<=20,Lookups!$N6,Lookups!$P6))))))]]></f>
        <v>0</v>
      </c>
      <c r="K62" s="20">
        <f><![CDATA[IF($L$59<=3,Lookups!$C6,IF(L$59<=4,Lookups!$E6,IF(L$59<=5,Lookups!$G6,IF(L$59<=10,$I6,IF(L$59<=15,Lookups!$K6,IF(L$59<=20,Lookups!$M6,Lookups!$O6))))))]]></f>
        <v>0.25</v>
      </c>
      <c r="L62" s="36">
        <f><![CDATA[IF(L$59<=3,Lookups!$D6,IF(L$59<=4,Lookups!$F6,IF(L$59<=5,Lookups!$H6,IF(L$59<=10,$J6,IF(L$59<=15,Lookups!$L6,IF(L$59<=20,Lookups!$N6,Lookups!$P6))))))]]></f>
        <v>0</v>
      </c>
      <c r="M62" s="20">
        <f><![CDATA[IF($N$59<=3,Lookups!$C6,IF(N$59<=4,Lookups!$E6,IF(N$59<=5,Lookups!$G6,IF(N$59<=10,$I6,IF(N$59<=15,Lookups!$K6,IF(N$59<=20,Lookups!$M6,Lookups!$O6))))))]]></f>
        <v>0.25</v>
      </c>
      <c r="N62" s="36">
        <f><![CDATA[IF(N$59<=3,Lookups!$D6,IF(N$59<=4,Lookups!$F6,IF(N$59<=5,Lookups!$H6,IF(N$59<=10,$J6,IF(N$59<=15,Lookups!$L6,IF(N$59<=20,Lookups!$N6,Lookups!$P6))))))]]></f>
        <v>0</v>
      </c>
      <c r="O62" s="20">
        <f><![CDATA[IF($P$59<=3,Lookups!$C6,IF(P$59<=4,Lookups!$E6,IF(P$59<=5,Lookups!$G6,IF(P$59<=10,$I6,IF(P$59<=15,Lookups!$K6,IF(P$59<=20,Lookups!$M6,Lookups!$O6))))))]]></f>
        <v>0.25</v>
      </c>
      <c r="P62" s="36">
        <f><![CDATA[IF(P$59<=3,Lookups!$D6,IF(P$59<=4,Lookups!$F6,IF(P$59<=5,Lookups!$H6,IF(P$59<=10,$J6,IF(P$59<=15,Lookups!$L6,IF(P$59<=20,Lookups!$N6,Lookups!$P6))))))]]></f>
        <v>0</v>
      </c>
      <c r="V62" s="209" t="s">
        <v>50</v>
      </c>
      <c r="W62" s="210"/>
      <c r="X62" s="211"/>
      <c r="Y62" s="29"/>
      <c r="Z62" s="208" t="s">
        <v>50</v>
      </c>
      <c r="AA62" s="208"/>
      <c r="AB62" s="208"/>
      <c r="AT62" s="33">
        <v>4</v>
      </c>
      <c r="AU62" s="31">
        <f>(Inputs!$C$72/AT62)</f>
        <v>250000</v>
      </c>
      <c r="AV62" s="31">
        <f>AU62</f>
        <v>250000</v>
      </c>
      <c r="AW62" s="31">
        <f>AV62</f>
        <v>250000</v>
      </c>
      <c r="AX62" s="31">
        <f>AW62</f>
        <v>250000</v>
      </c>
      <c r="AY62" s="34">
        <v>0</v>
      </c>
      <c r="AZ62" s="34">
        <v>0</v>
      </c>
      <c r="BA62" s="34">
        <v>0</v>
      </c>
    </row>
    <row r="63" spans="2:53" x14ac:dyDescent="0.25">
      <c r="B63" s="18">
        <v>100000</v>
      </c>
      <c r="C63" s="20">
        <f><![CDATA[IF($D$59<=3,Lookups!$C7,IF(D$59<=4,Lookups!$E7,IF(D$59<=5,Lookups!$G7,IF(D$59<=10,$I7,IF(D$59<=15,Lookups!$K7,IF(D$59<=20,Lookups!$M7,Lookups!$O7))))))]]></f>
        <v>0.4</v>
      </c>
      <c r="D63" s="36">
        <f><![CDATA[IF(D$59<=3,Lookups!$D7,IF(D$59<=4,Lookups!$F7,IF(D$59<=5,Lookups!$H7,IF(D$59<=10,$J7,IF(D$59<=15,Lookups!$L7,IF(D$59<=20,Lookups!$N7,Lookups!$P7))))))]]></f>
        <v>0</v>
      </c>
      <c r="E63" s="20">
        <f><![CDATA[IF($F$59<=3,Lookups!$C7,IF(F$59<=4,Lookups!$E7,IF(F$59<=5,Lookups!$G7,IF(F$59<=10,$I7,IF(F$59<=15,Lookups!$K7,IF(F$59<=20,Lookups!$M7,Lookups!$O7))))))]]></f>
        <v>0.4</v>
      </c>
      <c r="F63" s="36">
        <f><![CDATA[IF(F$59<=3,Lookups!$D7,IF(F$59<=4,Lookups!$F7,IF(F$59<=5,Lookups!$H7,IF(F$59<=10,$J7,IF(F$59<=15,Lookups!$L7,IF(F$59<=20,Lookups!$N7,Lookups!$P7))))))]]></f>
        <v>0</v>
      </c>
      <c r="G63" s="20">
        <f><![CDATA[IF($H$59<=3,Lookups!$C7,IF(H$59<=4,Lookups!$E7,IF(H$59<=5,Lookups!$G7,IF(H$59<=10,$I7,IF(H$59<=15,Lookups!$K7,IF(H$59<=20,Lookups!$M7,Lookups!$O7))))))]]></f>
        <v>0.4</v>
      </c>
      <c r="H63" s="36">
        <f><![CDATA[IF(H$59<=3,Lookups!$D7,IF(H$59<=4,Lookups!$F7,IF(H$59<=5,Lookups!$H7,IF(H$59<=10,$J7,IF(H$59<=15,Lookups!$L7,IF(H$59<=20,Lookups!$N7,Lookups!$P7))))))]]></f>
        <v>0</v>
      </c>
      <c r="I63" s="20">
        <f><![CDATA[IF($J$59<=3,Lookups!$C7,IF(J$59<=4,Lookups!$E7,IF(J$59<=5,Lookups!$G7,IF(J$59<=10,$I7,IF(J$59<=15,Lookups!$K7,IF(J$59<=20,Lookups!$M7,Lookups!$O7))))))]]></f>
        <v>0.4</v>
      </c>
      <c r="J63" s="36">
        <f><![CDATA[IF(J$59<=3,Lookups!$D7,IF(J$59<=4,Lookups!$F7,IF(J$59<=5,Lookups!$H7,IF(J$59<=10,$J7,IF(J$59<=15,Lookups!$L7,IF(J$59<=20,Lookups!$N7,Lookups!$P7))))))]]></f>
        <v>0</v>
      </c>
      <c r="K63" s="20">
        <f><![CDATA[IF($L$59<=3,Lookups!$C7,IF(L$59<=4,Lookups!$E7,IF(L$59<=5,Lookups!$G7,IF(L$59<=10,$I7,IF(L$59<=15,Lookups!$K7,IF(L$59<=20,Lookups!$M7,Lookups!$O7))))))]]></f>
        <v>0.4</v>
      </c>
      <c r="L63" s="36">
        <f><![CDATA[IF(L$59<=3,Lookups!$D7,IF(L$59<=4,Lookups!$F7,IF(L$59<=5,Lookups!$H7,IF(L$59<=10,$J7,IF(L$59<=15,Lookups!$L7,IF(L$59<=20,Lookups!$N7,Lookups!$P7))))))]]></f>
        <v>0</v>
      </c>
      <c r="M63" s="20">
        <f><![CDATA[IF($N$59<=3,Lookups!$C7,IF(N$59<=4,Lookups!$E7,IF(N$59<=5,Lookups!$G7,IF(N$59<=10,$I7,IF(N$59<=15,Lookups!$K7,IF(N$59<=20,Lookups!$M7,Lookups!$O7))))))]]></f>
        <v>0.4</v>
      </c>
      <c r="N63" s="36">
        <f><![CDATA[IF(N$59<=3,Lookups!$D7,IF(N$59<=4,Lookups!$F7,IF(N$59<=5,Lookups!$H7,IF(N$59<=10,$J7,IF(N$59<=15,Lookups!$L7,IF(N$59<=20,Lookups!$N7,Lookups!$P7))))))]]></f>
        <v>0</v>
      </c>
      <c r="O63" s="20">
        <f><![CDATA[IF($P$59<=3,Lookups!$C7,IF(P$59<=4,Lookups!$E7,IF(P$59<=5,Lookups!$G7,IF(P$59<=10,$I7,IF(P$59<=15,Lookups!$K7,IF(P$59<=20,Lookups!$M7,Lookups!$O7))))))]]></f>
        <v>0.4</v>
      </c>
      <c r="P63" s="36">
        <f><![CDATA[IF(P$59<=3,Lookups!$D7,IF(P$59<=4,Lookups!$F7,IF(P$59<=5,Lookups!$H7,IF(P$59<=10,$J7,IF(P$59<=15,Lookups!$L7,IF(P$59<=20,Lookups!$N7,Lookups!$P7))))))]]></f>
        <v>0</v>
      </c>
      <c r="U63" t="s" s="0">
        <v>26</v>
      </c>
      <c r="V63" s="24"/>
      <c r="W63" s="25" t="s">
        <v>51</v>
      </c>
      <c r="X63" s="26" t="s">
        <v>52</v>
      </c>
      <c r="Z63" s="1"/>
      <c r="AA63" s="1" t="s">
        <v>51</v>
      </c>
      <c r="AB63" s="1" t="s">
        <v>52</v>
      </c>
      <c r="AT63" s="33">
        <v>5</v>
      </c>
      <c r="AU63" s="31">
        <f>(Inputs!$C$72/AT63)</f>
        <v>200000</v>
      </c>
      <c r="AV63" s="31">
        <f>AU63</f>
        <v>200000</v>
      </c>
      <c r="AW63" s="31">
        <f>AV63</f>
        <v>200000</v>
      </c>
      <c r="AX63" s="31">
        <f>AW63</f>
        <v>200000</v>
      </c>
      <c r="AY63" s="31">
        <f>AX63</f>
        <v>200000</v>
      </c>
      <c r="AZ63" s="0">
        <v>0</v>
      </c>
      <c r="BA63" s="34">
        <v>0</v>
      </c>
    </row>
    <row r="64" spans="2:53" x14ac:dyDescent="0.25">
      <c r="B64" s="18">
        <v>200000</v>
      </c>
      <c r="C64" s="20">
        <f><![CDATA[IF($D$59<=3,Lookups!$C8,IF(D$59<=4,Lookups!$E8,IF(D$59<=5,Lookups!$G8,IF(D$59<=10,$I8,IF(D$59<=15,Lookups!$K8,IF(D$59<=20,Lookups!$M8,Lookups!$O8))))))]]></f>
        <v>0.4</v>
      </c>
      <c r="D64" s="36">
        <f><![CDATA[IF(D$59<=3,Lookups!$D8,IF(D$59<=4,Lookups!$F8,IF(D$59<=5,Lookups!$H8,IF(D$59<=10,$J8,IF(D$59<=15,Lookups!$L8,IF(D$59<=20,Lookups!$N8,Lookups!$P8))))))]]></f>
        <v>0</v>
      </c>
      <c r="E64" s="20">
        <f><![CDATA[IF($F$59<=3,Lookups!$C8,IF(F$59<=4,Lookups!$E8,IF(F$59<=5,Lookups!$G8,IF(F$59<=10,$I8,IF(F$59<=15,Lookups!$K8,IF(F$59<=20,Lookups!$M8,Lookups!$O8))))))]]></f>
        <v>0.4</v>
      </c>
      <c r="F64" s="36">
        <f><![CDATA[IF(F$59<=3,Lookups!$D8,IF(F$59<=4,Lookups!$F8,IF(F$59<=5,Lookups!$H8,IF(F$59<=10,$J8,IF(F$59<=15,Lookups!$L8,IF(F$59<=20,Lookups!$N8,Lookups!$P8))))))]]></f>
        <v>0</v>
      </c>
      <c r="G64" s="20">
        <f><![CDATA[IF($H$59<=3,Lookups!$C8,IF(H$59<=4,Lookups!$E8,IF(H$59<=5,Lookups!$G8,IF(H$59<=10,$I8,IF(H$59<=15,Lookups!$K8,IF(H$59<=20,Lookups!$M8,Lookups!$O8))))))]]></f>
        <v>0.4</v>
      </c>
      <c r="H64" s="36">
        <f><![CDATA[IF(H$59<=3,Lookups!$D8,IF(H$59<=4,Lookups!$F8,IF(H$59<=5,Lookups!$H8,IF(H$59<=10,$J8,IF(H$59<=15,Lookups!$L8,IF(H$59<=20,Lookups!$N8,Lookups!$P8))))))]]></f>
        <v>0</v>
      </c>
      <c r="I64" s="20">
        <f><![CDATA[IF($J$59<=3,Lookups!$C8,IF(J$59<=4,Lookups!$E8,IF(J$59<=5,Lookups!$G8,IF(J$59<=10,$I8,IF(J$59<=15,Lookups!$K8,IF(J$59<=20,Lookups!$M8,Lookups!$O8))))))]]></f>
        <v>0.4</v>
      </c>
      <c r="J64" s="36">
        <f><![CDATA[IF(J$59<=3,Lookups!$D8,IF(J$59<=4,Lookups!$F8,IF(J$59<=5,Lookups!$H8,IF(J$59<=10,$J8,IF(J$59<=15,Lookups!$L8,IF(J$59<=20,Lookups!$N8,Lookups!$P8))))))]]></f>
        <v>0</v>
      </c>
      <c r="K64" s="20">
        <f><![CDATA[IF($L$59<=3,Lookups!$C8,IF(L$59<=4,Lookups!$E8,IF(L$59<=5,Lookups!$G8,IF(L$59<=10,$I8,IF(L$59<=15,Lookups!$K8,IF(L$59<=20,Lookups!$M8,Lookups!$O8))))))]]></f>
        <v>0.4</v>
      </c>
      <c r="L64" s="36">
        <f><![CDATA[IF(L$59<=3,Lookups!$D8,IF(L$59<=4,Lookups!$F8,IF(L$59<=5,Lookups!$H8,IF(L$59<=10,$J8,IF(L$59<=15,Lookups!$L8,IF(L$59<=20,Lookups!$N8,Lookups!$P8))))))]]></f>
        <v>0</v>
      </c>
      <c r="M64" s="20">
        <f><![CDATA[IF($N$59<=3,Lookups!$C8,IF(N$59<=4,Lookups!$E8,IF(N$59<=5,Lookups!$G8,IF(N$59<=10,$I8,IF(N$59<=15,Lookups!$K8,IF(N$59<=20,Lookups!$M8,Lookups!$O8))))))]]></f>
        <v>0.4</v>
      </c>
      <c r="N64" s="36">
        <f><![CDATA[IF(N$59<=3,Lookups!$D8,IF(N$59<=4,Lookups!$F8,IF(N$59<=5,Lookups!$H8,IF(N$59<=10,$J8,IF(N$59<=15,Lookups!$L8,IF(N$59<=20,Lookups!$N8,Lookups!$P8))))))]]></f>
        <v>0</v>
      </c>
      <c r="O64" s="20">
        <f><![CDATA[IF($P$59<=3,Lookups!$C8,IF(P$59<=4,Lookups!$E8,IF(P$59<=5,Lookups!$G8,IF(P$59<=10,$I8,IF(P$59<=15,Lookups!$K8,IF(P$59<=20,Lookups!$M8,Lookups!$O8))))))]]></f>
        <v>0.4</v>
      </c>
      <c r="P64" s="36">
        <f><![CDATA[IF(P$59<=3,Lookups!$D8,IF(P$59<=4,Lookups!$F8,IF(P$59<=5,Lookups!$H8,IF(P$59<=10,$J8,IF(P$59<=15,Lookups!$L8,IF(P$59<=20,Lookups!$N8,Lookups!$P8))))))]]></f>
        <v>0</v>
      </c>
      <c r="V64" s="21">
        <f>Receiving!D76</f>
        <v>0</v>
      </c>
      <c r="W64" s="22">
        <f>LOOKUP($V64,Lookups!$B$112:$B$133,Lookups!$C$112:$C$133)</f>
        <v>0.25</v>
      </c>
      <c r="X64" s="23">
        <f>LOOKUP($V64,Lookups!$B$112:$B$133,Lookups!$D$112:$D$133)</f>
        <v>0</v>
      </c>
      <c r="Z64" s="21">
        <f>Receiving!K76</f>
        <v>0</v>
      </c>
      <c r="AA64" s="22">
        <f>LOOKUP($Z64,Lookups!$B$112:$B$133,Lookups!$C$112:$C$133)</f>
        <v>0.25</v>
      </c>
      <c r="AB64" s="23">
        <f>LOOKUP($Z64,Lookups!$B$112:$B$133,Lookups!$D$112:$D$133)</f>
        <v>0</v>
      </c>
      <c r="AT64" s="33">
        <v>6</v>
      </c>
      <c r="AU64" s="31">
        <f>(Inputs!$C$72/AT64)</f>
        <v>166666.66666666666</v>
      </c>
      <c r="AV64" s="31">
        <f t="shared" ref="AV64:BA65" si="1">AU64</f>
        <v>166666.66666666666</v>
      </c>
      <c r="AW64" s="31">
        <f t="shared" si="1"/>
        <v>166666.66666666666</v>
      </c>
      <c r="AX64" s="31">
        <f t="shared" si="1"/>
        <v>166666.66666666666</v>
      </c>
      <c r="AY64" s="31">
        <f t="shared" si="1"/>
        <v>166666.66666666666</v>
      </c>
      <c r="AZ64" s="31">
        <f t="shared" si="1"/>
        <v>166666.66666666666</v>
      </c>
      <c r="BA64" s="0">
        <v>0</v>
      </c>
    </row>
    <row r="65" spans="2:53" x14ac:dyDescent="0.25">
      <c r="B65" s="18">
        <v>300000</v>
      </c>
      <c r="C65" s="20">
        <f><![CDATA[IF($D$59<=3,Lookups!$C9,IF(D$59<=4,Lookups!$E9,IF(D$59<=5,Lookups!$G9,IF(D$59<=10,$I9,IF(D$59<=15,Lookups!$K9,IF(D$59<=20,Lookups!$M9,Lookups!$O9))))))]]></f>
        <v>0.4</v>
      </c>
      <c r="D65" s="36">
        <f><![CDATA[IF(D$59<=3,Lookups!$D9,IF(D$59<=4,Lookups!$F9,IF(D$59<=5,Lookups!$H9,IF(D$59<=10,$J9,IF(D$59<=15,Lookups!$L9,IF(D$59<=20,Lookups!$N9,Lookups!$P9))))))]]></f>
        <v>0</v>
      </c>
      <c r="E65" s="20">
        <f><![CDATA[IF($F$59<=3,Lookups!$C9,IF(F$59<=4,Lookups!$E9,IF(F$59<=5,Lookups!$G9,IF(F$59<=10,$I9,IF(F$59<=15,Lookups!$K9,IF(F$59<=20,Lookups!$M9,Lookups!$O9))))))]]></f>
        <v>0.4</v>
      </c>
      <c r="F65" s="36">
        <f><![CDATA[IF(F$59<=3,Lookups!$D9,IF(F$59<=4,Lookups!$F9,IF(F$59<=5,Lookups!$H9,IF(F$59<=10,$J9,IF(F$59<=15,Lookups!$L9,IF(F$59<=20,Lookups!$N9,Lookups!$P9))))))]]></f>
        <v>0</v>
      </c>
      <c r="G65" s="20">
        <f><![CDATA[IF($H$59<=3,Lookups!$C9,IF(H$59<=4,Lookups!$E9,IF(H$59<=5,Lookups!$G9,IF(H$59<=10,$I9,IF(H$59<=15,Lookups!$K9,IF(H$59<=20,Lookups!$M9,Lookups!$O9))))))]]></f>
        <v>0.4</v>
      </c>
      <c r="H65" s="36">
        <f><![CDATA[IF(H$59<=3,Lookups!$D9,IF(H$59<=4,Lookups!$F9,IF(H$59<=5,Lookups!$H9,IF(H$59<=10,$J9,IF(H$59<=15,Lookups!$L9,IF(H$59<=20,Lookups!$N9,Lookups!$P9))))))]]></f>
        <v>0</v>
      </c>
      <c r="I65" s="20">
        <f><![CDATA[IF($J$59<=3,Lookups!$C9,IF(J$59<=4,Lookups!$E9,IF(J$59<=5,Lookups!$G9,IF(J$59<=10,$I9,IF(J$59<=15,Lookups!$K9,IF(J$59<=20,Lookups!$M9,Lookups!$O9))))))]]></f>
        <v>0.4</v>
      </c>
      <c r="J65" s="36">
        <f><![CDATA[IF(J$59<=3,Lookups!$D9,IF(J$59<=4,Lookups!$F9,IF(J$59<=5,Lookups!$H9,IF(J$59<=10,$J9,IF(J$59<=15,Lookups!$L9,IF(J$59<=20,Lookups!$N9,Lookups!$P9))))))]]></f>
        <v>0</v>
      </c>
      <c r="K65" s="20">
        <f><![CDATA[IF($L$59<=3,Lookups!$C9,IF(L$59<=4,Lookups!$E9,IF(L$59<=5,Lookups!$G9,IF(L$59<=10,$I9,IF(L$59<=15,Lookups!$K9,IF(L$59<=20,Lookups!$M9,Lookups!$O9))))))]]></f>
        <v>0.4</v>
      </c>
      <c r="L65" s="36">
        <f><![CDATA[IF(L$59<=3,Lookups!$D9,IF(L$59<=4,Lookups!$F9,IF(L$59<=5,Lookups!$H9,IF(L$59<=10,$J9,IF(L$59<=15,Lookups!$L9,IF(L$59<=20,Lookups!$N9,Lookups!$P9))))))]]></f>
        <v>0</v>
      </c>
      <c r="M65" s="20">
        <f><![CDATA[IF($N$59<=3,Lookups!$C9,IF(N$59<=4,Lookups!$E9,IF(N$59<=5,Lookups!$G9,IF(N$59<=10,$I9,IF(N$59<=15,Lookups!$K9,IF(N$59<=20,Lookups!$M9,Lookups!$O9))))))]]></f>
        <v>0.4</v>
      </c>
      <c r="N65" s="36">
        <f><![CDATA[IF(N$59<=3,Lookups!$D9,IF(N$59<=4,Lookups!$F9,IF(N$59<=5,Lookups!$H9,IF(N$59<=10,$J9,IF(N$59<=15,Lookups!$L9,IF(N$59<=20,Lookups!$N9,Lookups!$P9))))))]]></f>
        <v>0</v>
      </c>
      <c r="O65" s="20">
        <f><![CDATA[IF($P$59<=3,Lookups!$C9,IF(P$59<=4,Lookups!$E9,IF(P$59<=5,Lookups!$G9,IF(P$59<=10,$I9,IF(P$59<=15,Lookups!$K9,IF(P$59<=20,Lookups!$M9,Lookups!$O9))))))]]></f>
        <v>0.4</v>
      </c>
      <c r="P65" s="36">
        <f><![CDATA[IF(P$59<=3,Lookups!$D9,IF(P$59<=4,Lookups!$F9,IF(P$59<=5,Lookups!$H9,IF(P$59<=10,$J9,IF(P$59<=15,Lookups!$L9,IF(P$59<=20,Lookups!$N9,Lookups!$P9))))))]]></f>
        <v>0</v>
      </c>
      <c r="V65" s="21">
        <f>Receiving!D77</f>
        <v>0</v>
      </c>
      <c r="W65" s="22">
        <f>LOOKUP($V65,Lookups!$B$112:$B$133,Lookups!$E$112:$E$133)</f>
        <v>0.25</v>
      </c>
      <c r="X65" s="23">
        <f>LOOKUP($V65,Lookups!$B$112:$B$133,Lookups!$F$112:$F$133)</f>
        <v>0</v>
      </c>
      <c r="Z65" s="21">
        <f>Receiving!K77</f>
        <v>0</v>
      </c>
      <c r="AA65" s="22">
        <f>LOOKUP($Z65,Lookups!$B$112:$B$133,Lookups!$E$112:$E$133)</f>
        <v>0.25</v>
      </c>
      <c r="AB65" s="23">
        <f>LOOKUP($Z65,Lookups!$B$112:$B$133,Lookups!$F$112:$F$133)</f>
        <v>0</v>
      </c>
      <c r="AT65" s="33">
        <v>7</v>
      </c>
      <c r="AU65" s="31">
        <f>(Inputs!$C$72/AT65)</f>
        <v>142857.14285714287</v>
      </c>
      <c r="AV65" s="31">
        <f t="shared" si="1"/>
        <v>142857.14285714287</v>
      </c>
      <c r="AW65" s="31">
        <f t="shared" si="1"/>
        <v>142857.14285714287</v>
      </c>
      <c r="AX65" s="31">
        <f t="shared" si="1"/>
        <v>142857.14285714287</v>
      </c>
      <c r="AY65" s="31">
        <f t="shared" si="1"/>
        <v>142857.14285714287</v>
      </c>
      <c r="AZ65" s="31">
        <f t="shared" si="1"/>
        <v>142857.14285714287</v>
      </c>
      <c r="BA65" s="31">
        <f t="shared" si="1"/>
        <v>142857.14285714287</v>
      </c>
    </row>
    <row r="66" spans="2:53" x14ac:dyDescent="0.25">
      <c r="B66" s="18">
        <v>400000</v>
      </c>
      <c r="C66" s="20">
        <f><![CDATA[IF($D$59<=3,Lookups!$C10,IF(D$59<=4,Lookups!$E10,IF(D$59<=5,Lookups!$G10,IF(D$59<=10,$I10,IF(D$59<=15,Lookups!$K10,IF(D$59<=20,Lookups!$M10,Lookups!$O10))))))]]></f>
        <v>0.4</v>
      </c>
      <c r="D66" s="36">
        <f><![CDATA[IF(D$59<=3,Lookups!$D10,IF(D$59<=4,Lookups!$F10,IF(D$59<=5,Lookups!$H10,IF(D$59<=10,$J10,IF(D$59<=15,Lookups!$L10,IF(D$59<=20,Lookups!$N10,Lookups!$P10))))))]]></f>
        <v>0</v>
      </c>
      <c r="E66" s="20">
        <f><![CDATA[IF($F$59<=3,Lookups!$C10,IF(F$59<=4,Lookups!$E10,IF(F$59<=5,Lookups!$G10,IF(F$59<=10,$I10,IF(F$59<=15,Lookups!$K10,IF(F$59<=20,Lookups!$M10,Lookups!$O10))))))]]></f>
        <v>0.4</v>
      </c>
      <c r="F66" s="36">
        <f><![CDATA[IF(F$59<=3,Lookups!$D10,IF(F$59<=4,Lookups!$F10,IF(F$59<=5,Lookups!$H10,IF(F$59<=10,$J10,IF(F$59<=15,Lookups!$L10,IF(F$59<=20,Lookups!$N10,Lookups!$P10))))))]]></f>
        <v>0</v>
      </c>
      <c r="G66" s="20">
        <f><![CDATA[IF($H$59<=3,Lookups!$C10,IF(H$59<=4,Lookups!$E10,IF(H$59<=5,Lookups!$G10,IF(H$59<=10,$I10,IF(H$59<=15,Lookups!$K10,IF(H$59<=20,Lookups!$M10,Lookups!$O10))))))]]></f>
        <v>0.4</v>
      </c>
      <c r="H66" s="36">
        <f><![CDATA[IF(H$59<=3,Lookups!$D10,IF(H$59<=4,Lookups!$F10,IF(H$59<=5,Lookups!$H10,IF(H$59<=10,$J10,IF(H$59<=15,Lookups!$L10,IF(H$59<=20,Lookups!$N10,Lookups!$P10))))))]]></f>
        <v>0</v>
      </c>
      <c r="I66" s="20">
        <f><![CDATA[IF($J$59<=3,Lookups!$C10,IF(J$59<=4,Lookups!$E10,IF(J$59<=5,Lookups!$G10,IF(J$59<=10,$I10,IF(J$59<=15,Lookups!$K10,IF(J$59<=20,Lookups!$M10,Lookups!$O10))))))]]></f>
        <v>0.4</v>
      </c>
      <c r="J66" s="36">
        <f><![CDATA[IF(J$59<=3,Lookups!$D10,IF(J$59<=4,Lookups!$F10,IF(J$59<=5,Lookups!$H10,IF(J$59<=10,$J10,IF(J$59<=15,Lookups!$L10,IF(J$59<=20,Lookups!$N10,Lookups!$P10))))))]]></f>
        <v>0</v>
      </c>
      <c r="K66" s="20">
        <f><![CDATA[IF($L$59<=3,Lookups!$C10,IF(L$59<=4,Lookups!$E10,IF(L$59<=5,Lookups!$G10,IF(L$59<=10,$I10,IF(L$59<=15,Lookups!$K10,IF(L$59<=20,Lookups!$M10,Lookups!$O10))))))]]></f>
        <v>0.4</v>
      </c>
      <c r="L66" s="36">
        <f><![CDATA[IF(L$59<=3,Lookups!$D10,IF(L$59<=4,Lookups!$F10,IF(L$59<=5,Lookups!$H10,IF(L$59<=10,$J10,IF(L$59<=15,Lookups!$L10,IF(L$59<=20,Lookups!$N10,Lookups!$P10))))))]]></f>
        <v>0</v>
      </c>
      <c r="M66" s="20">
        <f><![CDATA[IF($N$59<=3,Lookups!$C10,IF(N$59<=4,Lookups!$E10,IF(N$59<=5,Lookups!$G10,IF(N$59<=10,$I10,IF(N$59<=15,Lookups!$K10,IF(N$59<=20,Lookups!$M10,Lookups!$O10))))))]]></f>
        <v>0.4</v>
      </c>
      <c r="N66" s="36">
        <f><![CDATA[IF(N$59<=3,Lookups!$D10,IF(N$59<=4,Lookups!$F10,IF(N$59<=5,Lookups!$H10,IF(N$59<=10,$J10,IF(N$59<=15,Lookups!$L10,IF(N$59<=20,Lookups!$N10,Lookups!$P10))))))]]></f>
        <v>0</v>
      </c>
      <c r="O66" s="20">
        <f><![CDATA[IF($P$59<=3,Lookups!$C10,IF(P$59<=4,Lookups!$E10,IF(P$59<=5,Lookups!$G10,IF(P$59<=10,$I10,IF(P$59<=15,Lookups!$K10,IF(P$59<=20,Lookups!$M10,Lookups!$O10))))))]]></f>
        <v>0.4</v>
      </c>
      <c r="P66" s="36">
        <f><![CDATA[IF(P$59<=3,Lookups!$D10,IF(P$59<=4,Lookups!$F10,IF(P$59<=5,Lookups!$H10,IF(P$59<=10,$J10,IF(P$59<=15,Lookups!$L10,IF(P$59<=20,Lookups!$N10,Lookups!$P10))))))]]></f>
        <v>0</v>
      </c>
      <c r="V66" s="21">
        <f>Receiving!D78</f>
        <v>0</v>
      </c>
      <c r="W66" s="22">
        <f>LOOKUP($V66,Lookups!$B$112:$B$133,Lookups!$G$112:$G$133)</f>
        <v>0.25</v>
      </c>
      <c r="X66" s="23">
        <f>LOOKUP($V66,Lookups!$B$112:$B$133,Lookups!$H$112:$H$133)</f>
        <v>0</v>
      </c>
      <c r="Z66" s="21">
        <f>Receiving!K78</f>
        <v>0</v>
      </c>
      <c r="AA66" s="22">
        <f>LOOKUP($Z66,Lookups!$B$112:$B$133,Lookups!$G$112:$G$133)</f>
        <v>0.25</v>
      </c>
      <c r="AB66" s="23">
        <f>LOOKUP($Z66,Lookups!$B$112:$B$133,Lookups!$H$112:$H$133)</f>
        <v>0</v>
      </c>
    </row>
    <row r="67" spans="2:53" x14ac:dyDescent="0.25">
      <c r="B67" s="18">
        <v>500000</v>
      </c>
      <c r="C67" s="20">
        <f><![CDATA[IF($D$59<=3,Lookups!$C11,IF(D$59<=4,Lookups!$E11,IF(D$59<=5,Lookups!$G11,IF(D$59<=10,$I11,IF(D$59<=15,Lookups!$K11,IF(D$59<=20,Lookups!$M11,Lookups!$O11))))))]]></f>
        <v>0.4</v>
      </c>
      <c r="D67" s="36">
        <f><![CDATA[IF(D$59<=3,Lookups!$D11,IF(D$59<=4,Lookups!$F11,IF(D$59<=5,Lookups!$H11,IF(D$59<=10,$J11,IF(D$59<=15,Lookups!$L11,IF(D$59<=20,Lookups!$N11,Lookups!$P11))))))]]></f>
        <v>0</v>
      </c>
      <c r="E67" s="20">
        <f><![CDATA[IF($F$59<=3,Lookups!$C11,IF(F$59<=4,Lookups!$E11,IF(F$59<=5,Lookups!$G11,IF(F$59<=10,$I11,IF(F$59<=15,Lookups!$K11,IF(F$59<=20,Lookups!$M11,Lookups!$O11))))))]]></f>
        <v>0.4</v>
      </c>
      <c r="F67" s="36">
        <f><![CDATA[IF(F$59<=3,Lookups!$D11,IF(F$59<=4,Lookups!$F11,IF(F$59<=5,Lookups!$H11,IF(F$59<=10,$J11,IF(F$59<=15,Lookups!$L11,IF(F$59<=20,Lookups!$N11,Lookups!$P11))))))]]></f>
        <v>0</v>
      </c>
      <c r="G67" s="20">
        <f><![CDATA[IF($H$59<=3,Lookups!$C11,IF(H$59<=4,Lookups!$E11,IF(H$59<=5,Lookups!$G11,IF(H$59<=10,$I11,IF(H$59<=15,Lookups!$K11,IF(H$59<=20,Lookups!$M11,Lookups!$O11))))))]]></f>
        <v>0.4</v>
      </c>
      <c r="H67" s="36">
        <f><![CDATA[IF(H$59<=3,Lookups!$D11,IF(H$59<=4,Lookups!$F11,IF(H$59<=5,Lookups!$H11,IF(H$59<=10,$J11,IF(H$59<=15,Lookups!$L11,IF(H$59<=20,Lookups!$N11,Lookups!$P11))))))]]></f>
        <v>0</v>
      </c>
      <c r="I67" s="20">
        <f><![CDATA[IF($J$59<=3,Lookups!$C11,IF(J$59<=4,Lookups!$E11,IF(J$59<=5,Lookups!$G11,IF(J$59<=10,$I11,IF(J$59<=15,Lookups!$K11,IF(J$59<=20,Lookups!$M11,Lookups!$O11))))))]]></f>
        <v>0.4</v>
      </c>
      <c r="J67" s="36">
        <f><![CDATA[IF(J$59<=3,Lookups!$D11,IF(J$59<=4,Lookups!$F11,IF(J$59<=5,Lookups!$H11,IF(J$59<=10,$J11,IF(J$59<=15,Lookups!$L11,IF(J$59<=20,Lookups!$N11,Lookups!$P11))))))]]></f>
        <v>0</v>
      </c>
      <c r="K67" s="20">
        <f><![CDATA[IF($L$59<=3,Lookups!$C11,IF(L$59<=4,Lookups!$E11,IF(L$59<=5,Lookups!$G11,IF(L$59<=10,$I11,IF(L$59<=15,Lookups!$K11,IF(L$59<=20,Lookups!$M11,Lookups!$O11))))))]]></f>
        <v>0.4</v>
      </c>
      <c r="L67" s="36">
        <f><![CDATA[IF(L$59<=3,Lookups!$D11,IF(L$59<=4,Lookups!$F11,IF(L$59<=5,Lookups!$H11,IF(L$59<=10,$J11,IF(L$59<=15,Lookups!$L11,IF(L$59<=20,Lookups!$N11,Lookups!$P11))))))]]></f>
        <v>0</v>
      </c>
      <c r="M67" s="20">
        <f><![CDATA[IF($N$59<=3,Lookups!$C11,IF(N$59<=4,Lookups!$E11,IF(N$59<=5,Lookups!$G11,IF(N$59<=10,$I11,IF(N$59<=15,Lookups!$K11,IF(N$59<=20,Lookups!$M11,Lookups!$O11))))))]]></f>
        <v>0.4</v>
      </c>
      <c r="N67" s="36">
        <f><![CDATA[IF(N$59<=3,Lookups!$D11,IF(N$59<=4,Lookups!$F11,IF(N$59<=5,Lookups!$H11,IF(N$59<=10,$J11,IF(N$59<=15,Lookups!$L11,IF(N$59<=20,Lookups!$N11,Lookups!$P11))))))]]></f>
        <v>0</v>
      </c>
      <c r="O67" s="20">
        <f><![CDATA[IF($P$59<=3,Lookups!$C11,IF(P$59<=4,Lookups!$E11,IF(P$59<=5,Lookups!$G11,IF(P$59<=10,$I11,IF(P$59<=15,Lookups!$K11,IF(P$59<=20,Lookups!$M11,Lookups!$O11))))))]]></f>
        <v>0.4</v>
      </c>
      <c r="P67" s="36">
        <f><![CDATA[IF(P$59<=3,Lookups!$D11,IF(P$59<=4,Lookups!$F11,IF(P$59<=5,Lookups!$H11,IF(P$59<=10,$J11,IF(P$59<=15,Lookups!$L11,IF(P$59<=20,Lookups!$N11,Lookups!$P11))))))]]></f>
        <v>0</v>
      </c>
      <c r="V67" s="21">
        <f>Receiving!D79</f>
        <v>0</v>
      </c>
      <c r="W67" s="22">
        <f>LOOKUP($V67,Lookups!$B$112:$B$133,Lookups!$I$112:$I$133)</f>
        <v>0.25</v>
      </c>
      <c r="X67" s="23">
        <f>LOOKUP($V67,Lookups!$B$112:$B$133,Lookups!$J$112:$J$133)</f>
        <v>0</v>
      </c>
      <c r="Z67" s="21">
        <f>Receiving!K79</f>
        <v>0</v>
      </c>
      <c r="AA67" s="22">
        <f>LOOKUP($Z67,Lookups!$B$112:$B$133,Lookups!$I$112:$I$133)</f>
        <v>0.25</v>
      </c>
      <c r="AB67" s="23">
        <f>LOOKUP($Z67,Lookups!$B$112:$B$133,Lookups!$J$112:$J$133)</f>
        <v>0</v>
      </c>
    </row>
    <row r="68" spans="2:53" x14ac:dyDescent="0.25">
      <c r="B68" s="18">
        <v>600000</v>
      </c>
      <c r="C68" s="20">
        <f><![CDATA[IF($D$59<=3,Lookups!$C12,IF(D$59<=4,Lookups!$E12,IF(D$59<=5,Lookups!$G12,IF(D$59<=10,$I12,IF(D$59<=15,Lookups!$K12,IF(D$59<=20,Lookups!$M12,Lookups!$O12))))))]]></f>
        <v>0.4</v>
      </c>
      <c r="D68" s="36">
        <f><![CDATA[IF(D$59<=3,Lookups!$D12,IF(D$59<=4,Lookups!$F12,IF(D$59<=5,Lookups!$H12,IF(D$59<=10,$J12,IF(D$59<=15,Lookups!$L12,IF(D$59<=20,Lookups!$N12,Lookups!$P12))))))]]></f>
        <v>0</v>
      </c>
      <c r="E68" s="20">
        <f><![CDATA[IF($F$59<=3,Lookups!$C12,IF(F$59<=4,Lookups!$E12,IF(F$59<=5,Lookups!$G12,IF(F$59<=10,$I12,IF(F$59<=15,Lookups!$K12,IF(F$59<=20,Lookups!$M12,Lookups!$O12))))))]]></f>
        <v>0.4</v>
      </c>
      <c r="F68" s="36">
        <f><![CDATA[IF(F$59<=3,Lookups!$D12,IF(F$59<=4,Lookups!$F12,IF(F$59<=5,Lookups!$H12,IF(F$59<=10,$J12,IF(F$59<=15,Lookups!$L12,IF(F$59<=20,Lookups!$N12,Lookups!$P12))))))]]></f>
        <v>0</v>
      </c>
      <c r="G68" s="20">
        <f><![CDATA[IF($H$59<=3,Lookups!$C12,IF(H$59<=4,Lookups!$E12,IF(H$59<=5,Lookups!$G12,IF(H$59<=10,$I12,IF(H$59<=15,Lookups!$K12,IF(H$59<=20,Lookups!$M12,Lookups!$O12))))))]]></f>
        <v>0.4</v>
      </c>
      <c r="H68" s="36">
        <f><![CDATA[IF(H$59<=3,Lookups!$D12,IF(H$59<=4,Lookups!$F12,IF(H$59<=5,Lookups!$H12,IF(H$59<=10,$J12,IF(H$59<=15,Lookups!$L12,IF(H$59<=20,Lookups!$N12,Lookups!$P12))))))]]></f>
        <v>0</v>
      </c>
      <c r="I68" s="20">
        <f><![CDATA[IF($J$59<=3,Lookups!$C12,IF(J$59<=4,Lookups!$E12,IF(J$59<=5,Lookups!$G12,IF(J$59<=10,$I12,IF(J$59<=15,Lookups!$K12,IF(J$59<=20,Lookups!$M12,Lookups!$O12))))))]]></f>
        <v>0.4</v>
      </c>
      <c r="J68" s="36">
        <f><![CDATA[IF(J$59<=3,Lookups!$D12,IF(J$59<=4,Lookups!$F12,IF(J$59<=5,Lookups!$H12,IF(J$59<=10,$J12,IF(J$59<=15,Lookups!$L12,IF(J$59<=20,Lookups!$N12,Lookups!$P12))))))]]></f>
        <v>0</v>
      </c>
      <c r="K68" s="20">
        <f><![CDATA[IF($L$59<=3,Lookups!$C12,IF(L$59<=4,Lookups!$E12,IF(L$59<=5,Lookups!$G12,IF(L$59<=10,$I12,IF(L$59<=15,Lookups!$K12,IF(L$59<=20,Lookups!$M12,Lookups!$O12))))))]]></f>
        <v>0.4</v>
      </c>
      <c r="L68" s="36">
        <f><![CDATA[IF(L$59<=3,Lookups!$D12,IF(L$59<=4,Lookups!$F12,IF(L$59<=5,Lookups!$H12,IF(L$59<=10,$J12,IF(L$59<=15,Lookups!$L12,IF(L$59<=20,Lookups!$N12,Lookups!$P12))))))]]></f>
        <v>0</v>
      </c>
      <c r="M68" s="20">
        <f><![CDATA[IF($N$59<=3,Lookups!$C12,IF(N$59<=4,Lookups!$E12,IF(N$59<=5,Lookups!$G12,IF(N$59<=10,$I12,IF(N$59<=15,Lookups!$K12,IF(N$59<=20,Lookups!$M12,Lookups!$O12))))))]]></f>
        <v>0.4</v>
      </c>
      <c r="N68" s="36">
        <f><![CDATA[IF(N$59<=3,Lookups!$D12,IF(N$59<=4,Lookups!$F12,IF(N$59<=5,Lookups!$H12,IF(N$59<=10,$J12,IF(N$59<=15,Lookups!$L12,IF(N$59<=20,Lookups!$N12,Lookups!$P12))))))]]></f>
        <v>0</v>
      </c>
      <c r="O68" s="20">
        <f><![CDATA[IF($P$59<=3,Lookups!$C12,IF(P$59<=4,Lookups!$E12,IF(P$59<=5,Lookups!$G12,IF(P$59<=10,$I12,IF(P$59<=15,Lookups!$K12,IF(P$59<=20,Lookups!$M12,Lookups!$O12))))))]]></f>
        <v>0.4</v>
      </c>
      <c r="P68" s="36">
        <f><![CDATA[IF(P$59<=3,Lookups!$D12,IF(P$59<=4,Lookups!$F12,IF(P$59<=5,Lookups!$H12,IF(P$59<=10,$J12,IF(P$59<=15,Lookups!$L12,IF(P$59<=20,Lookups!$N12,Lookups!$P12))))))]]></f>
        <v>0</v>
      </c>
      <c r="V68" s="21">
        <f>Receiving!D79</f>
        <v>0</v>
      </c>
      <c r="W68" s="22">
        <f>LOOKUP($V68,Lookups!$B$112:$B$133,Lookups!$K$112:$K$133)</f>
        <v>0.25</v>
      </c>
      <c r="X68" s="23">
        <f>LOOKUP($V68,Lookups!$B$112:$B$133,Lookups!$L$112:$L$133)</f>
        <v>0</v>
      </c>
      <c r="Z68" s="21">
        <f>Receiving!K80</f>
        <v>0</v>
      </c>
      <c r="AA68" s="22">
        <f>LOOKUP($Z68,Lookups!$B$112:$B$133,Lookups!$K$112:$K$133)</f>
        <v>0.25</v>
      </c>
      <c r="AB68" s="23">
        <f>LOOKUP($Z68,Lookups!$B$112:$B$133,Lookups!$L$112:$L$133)</f>
        <v>0</v>
      </c>
    </row>
    <row r="69" spans="2:53" x14ac:dyDescent="0.25">
      <c r="B69" s="18">
        <v>700000</v>
      </c>
      <c r="C69" s="20">
        <f><![CDATA[IF($D$59<=3,Lookups!$C13,IF(D$59<=4,Lookups!$E13,IF(D$59<=5,Lookups!$G13,IF(D$59<=10,$I13,IF(D$59<=15,Lookups!$K13,IF(D$59<=20,Lookups!$M13,Lookups!$O13))))))]]></f>
        <v>0.4</v>
      </c>
      <c r="D69" s="36">
        <f><![CDATA[IF(D$59<=3,Lookups!$D13,IF(D$59<=4,Lookups!$F13,IF(D$59<=5,Lookups!$H13,IF(D$59<=10,$J13,IF(D$59<=15,Lookups!$L13,IF(D$59<=20,Lookups!$N13,Lookups!$P13))))))]]></f>
        <v>0</v>
      </c>
      <c r="E69" s="20">
        <f><![CDATA[IF($F$59<=3,Lookups!$C13,IF(F$59<=4,Lookups!$E13,IF(F$59<=5,Lookups!$G13,IF(F$59<=10,$I13,IF(F$59<=15,Lookups!$K13,IF(F$59<=20,Lookups!$M13,Lookups!$O13))))))]]></f>
        <v>0.4</v>
      </c>
      <c r="F69" s="36">
        <f><![CDATA[IF(F$59<=3,Lookups!$D13,IF(F$59<=4,Lookups!$F13,IF(F$59<=5,Lookups!$H13,IF(F$59<=10,$J13,IF(F$59<=15,Lookups!$L13,IF(F$59<=20,Lookups!$N13,Lookups!$P13))))))]]></f>
        <v>0</v>
      </c>
      <c r="G69" s="20">
        <f><![CDATA[IF($H$59<=3,Lookups!$C13,IF(H$59<=4,Lookups!$E13,IF(H$59<=5,Lookups!$G13,IF(H$59<=10,$I13,IF(H$59<=15,Lookups!$K13,IF(H$59<=20,Lookups!$M13,Lookups!$O13))))))]]></f>
        <v>0.4</v>
      </c>
      <c r="H69" s="36">
        <f><![CDATA[IF(H$59<=3,Lookups!$D13,IF(H$59<=4,Lookups!$F13,IF(H$59<=5,Lookups!$H13,IF(H$59<=10,$J13,IF(H$59<=15,Lookups!$L13,IF(H$59<=20,Lookups!$N13,Lookups!$P13))))))]]></f>
        <v>0</v>
      </c>
      <c r="I69" s="20">
        <f><![CDATA[IF($J$59<=3,Lookups!$C13,IF(J$59<=4,Lookups!$E13,IF(J$59<=5,Lookups!$G13,IF(J$59<=10,$I13,IF(J$59<=15,Lookups!$K13,IF(J$59<=20,Lookups!$M13,Lookups!$O13))))))]]></f>
        <v>0.4</v>
      </c>
      <c r="J69" s="36">
        <f><![CDATA[IF(J$59<=3,Lookups!$D13,IF(J$59<=4,Lookups!$F13,IF(J$59<=5,Lookups!$H13,IF(J$59<=10,$J13,IF(J$59<=15,Lookups!$L13,IF(J$59<=20,Lookups!$N13,Lookups!$P13))))))]]></f>
        <v>0</v>
      </c>
      <c r="K69" s="20">
        <f><![CDATA[IF($L$59<=3,Lookups!$C13,IF(L$59<=4,Lookups!$E13,IF(L$59<=5,Lookups!$G13,IF(L$59<=10,$I13,IF(L$59<=15,Lookups!$K13,IF(L$59<=20,Lookups!$M13,Lookups!$O13))))))]]></f>
        <v>0.4</v>
      </c>
      <c r="L69" s="36">
        <f><![CDATA[IF(L$59<=3,Lookups!$D13,IF(L$59<=4,Lookups!$F13,IF(L$59<=5,Lookups!$H13,IF(L$59<=10,$J13,IF(L$59<=15,Lookups!$L13,IF(L$59<=20,Lookups!$N13,Lookups!$P13))))))]]></f>
        <v>0</v>
      </c>
      <c r="M69" s="20">
        <f><![CDATA[IF($N$59<=3,Lookups!$C13,IF(N$59<=4,Lookups!$E13,IF(N$59<=5,Lookups!$G13,IF(N$59<=10,$I13,IF(N$59<=15,Lookups!$K13,IF(N$59<=20,Lookups!$M13,Lookups!$O13))))))]]></f>
        <v>0.4</v>
      </c>
      <c r="N69" s="36">
        <f><![CDATA[IF(N$59<=3,Lookups!$D13,IF(N$59<=4,Lookups!$F13,IF(N$59<=5,Lookups!$H13,IF(N$59<=10,$J13,IF(N$59<=15,Lookups!$L13,IF(N$59<=20,Lookups!$N13,Lookups!$P13))))))]]></f>
        <v>0</v>
      </c>
      <c r="O69" s="20">
        <f><![CDATA[IF($P$59<=3,Lookups!$C13,IF(P$59<=4,Lookups!$E13,IF(P$59<=5,Lookups!$G13,IF(P$59<=10,$I13,IF(P$59<=15,Lookups!$K13,IF(P$59<=20,Lookups!$M13,Lookups!$O13))))))]]></f>
        <v>0.4</v>
      </c>
      <c r="P69" s="36">
        <f><![CDATA[IF(P$59<=3,Lookups!$D13,IF(P$59<=4,Lookups!$F13,IF(P$59<=5,Lookups!$H13,IF(P$59<=10,$J13,IF(P$59<=15,Lookups!$L13,IF(P$59<=20,Lookups!$N13,Lookups!$P13))))))]]></f>
        <v>0</v>
      </c>
      <c r="V69" s="21">
        <f>Receiving!D80</f>
        <v>0</v>
      </c>
      <c r="W69" s="22">
        <f>LOOKUP($V69,Lookups!$B$112:$B$133,Lookups!$M$112:$M$133)</f>
        <v>0.25</v>
      </c>
      <c r="X69" s="23">
        <f>LOOKUP($V69,Lookups!$B$112:$B$133,Lookups!$N$112:$N$133)</f>
        <v>0</v>
      </c>
      <c r="Z69" s="21">
        <f>Receiving!K81</f>
        <v>0</v>
      </c>
      <c r="AA69" s="22">
        <f>LOOKUP($Z69,Lookups!$B$112:$B$133,Lookups!$M$112:$M$133)</f>
        <v>0.25</v>
      </c>
      <c r="AB69" s="23">
        <f>LOOKUP($Z69,Lookups!$B$112:$B$133,Lookups!$N$112:$N$133)</f>
        <v>0</v>
      </c>
    </row>
    <row r="70" spans="2:53" x14ac:dyDescent="0.25">
      <c r="B70" s="18">
        <v>800000</v>
      </c>
      <c r="C70" s="20">
        <f><![CDATA[IF($D$59<=3,Lookups!$C14,IF(D$59<=4,Lookups!$E14,IF(D$59<=5,Lookups!$G14,IF(D$59<=10,$I14,IF(D$59<=15,Lookups!$K14,IF(D$59<=20,Lookups!$M14,Lookups!$O14))))))]]></f>
        <v>0.4</v>
      </c>
      <c r="D70" s="36">
        <f><![CDATA[IF(D$59<=3,Lookups!$D14,IF(D$59<=4,Lookups!$F14,IF(D$59<=5,Lookups!$H14,IF(D$59<=10,$J14,IF(D$59<=15,Lookups!$L14,IF(D$59<=20,Lookups!$N14,Lookups!$P14))))))]]></f>
        <v>0</v>
      </c>
      <c r="E70" s="20">
        <f><![CDATA[IF($F$59<=3,Lookups!$C14,IF(F$59<=4,Lookups!$E14,IF(F$59<=5,Lookups!$G14,IF(F$59<=10,$I14,IF(F$59<=15,Lookups!$K14,IF(F$59<=20,Lookups!$M14,Lookups!$O14))))))]]></f>
        <v>0.4</v>
      </c>
      <c r="F70" s="36">
        <f><![CDATA[IF(F$59<=3,Lookups!$D14,IF(F$59<=4,Lookups!$F14,IF(F$59<=5,Lookups!$H14,IF(F$59<=10,$J14,IF(F$59<=15,Lookups!$L14,IF(F$59<=20,Lookups!$N14,Lookups!$P14))))))]]></f>
        <v>0</v>
      </c>
      <c r="G70" s="20">
        <f><![CDATA[IF($H$59<=3,Lookups!$C14,IF(H$59<=4,Lookups!$E14,IF(H$59<=5,Lookups!$G14,IF(H$59<=10,$I14,IF(H$59<=15,Lookups!$K14,IF(H$59<=20,Lookups!$M14,Lookups!$O14))))))]]></f>
        <v>0.4</v>
      </c>
      <c r="H70" s="36">
        <f><![CDATA[IF(H$59<=3,Lookups!$D14,IF(H$59<=4,Lookups!$F14,IF(H$59<=5,Lookups!$H14,IF(H$59<=10,$J14,IF(H$59<=15,Lookups!$L14,IF(H$59<=20,Lookups!$N14,Lookups!$P14))))))]]></f>
        <v>0</v>
      </c>
      <c r="I70" s="20">
        <f><![CDATA[IF($J$59<=3,Lookups!$C14,IF(J$59<=4,Lookups!$E14,IF(J$59<=5,Lookups!$G14,IF(J$59<=10,$I14,IF(J$59<=15,Lookups!$K14,IF(J$59<=20,Lookups!$M14,Lookups!$O14))))))]]></f>
        <v>0.4</v>
      </c>
      <c r="J70" s="36">
        <f><![CDATA[IF(J$59<=3,Lookups!$D14,IF(J$59<=4,Lookups!$F14,IF(J$59<=5,Lookups!$H14,IF(J$59<=10,$J14,IF(J$59<=15,Lookups!$L14,IF(J$59<=20,Lookups!$N14,Lookups!$P14))))))]]></f>
        <v>0</v>
      </c>
      <c r="K70" s="20">
        <f><![CDATA[IF($L$59<=3,Lookups!$C14,IF(L$59<=4,Lookups!$E14,IF(L$59<=5,Lookups!$G14,IF(L$59<=10,$I14,IF(L$59<=15,Lookups!$K14,IF(L$59<=20,Lookups!$M14,Lookups!$O14))))))]]></f>
        <v>0.4</v>
      </c>
      <c r="L70" s="36">
        <f><![CDATA[IF(L$59<=3,Lookups!$D14,IF(L$59<=4,Lookups!$F14,IF(L$59<=5,Lookups!$H14,IF(L$59<=10,$J14,IF(L$59<=15,Lookups!$L14,IF(L$59<=20,Lookups!$N14,Lookups!$P14))))))]]></f>
        <v>0</v>
      </c>
      <c r="M70" s="20">
        <f><![CDATA[IF($N$59<=3,Lookups!$C14,IF(N$59<=4,Lookups!$E14,IF(N$59<=5,Lookups!$G14,IF(N$59<=10,$I14,IF(N$59<=15,Lookups!$K14,IF(N$59<=20,Lookups!$M14,Lookups!$O14))))))]]></f>
        <v>0.4</v>
      </c>
      <c r="N70" s="36">
        <f><![CDATA[IF(N$59<=3,Lookups!$D14,IF(N$59<=4,Lookups!$F14,IF(N$59<=5,Lookups!$H14,IF(N$59<=10,$J14,IF(N$59<=15,Lookups!$L14,IF(N$59<=20,Lookups!$N14,Lookups!$P14))))))]]></f>
        <v>0</v>
      </c>
      <c r="O70" s="20">
        <f><![CDATA[IF($P$59<=3,Lookups!$C14,IF(P$59<=4,Lookups!$E14,IF(P$59<=5,Lookups!$G14,IF(P$59<=10,$I14,IF(P$59<=15,Lookups!$K14,IF(P$59<=20,Lookups!$M14,Lookups!$O14))))))]]></f>
        <v>0.4</v>
      </c>
      <c r="P70" s="36">
        <f><![CDATA[IF(P$59<=3,Lookups!$D14,IF(P$59<=4,Lookups!$F14,IF(P$59<=5,Lookups!$H14,IF(P$59<=10,$J14,IF(P$59<=15,Lookups!$L14,IF(P$59<=20,Lookups!$N14,Lookups!$P14))))))]]></f>
        <v>0</v>
      </c>
      <c r="V70" s="21">
        <f>Receiving!D80</f>
        <v>0</v>
      </c>
      <c r="W70" s="22">
        <f>LOOKUP($V70,Lookups!$B$112:$B$133,Lookups!$O$112:$O$133)</f>
        <v>0.25</v>
      </c>
      <c r="X70" s="23">
        <f>LOOKUP($V70,Lookups!$B$112:$B$133,Lookups!$P$112:$P$133)</f>
        <v>0</v>
      </c>
      <c r="Z70" s="21">
        <f>Receiving!K82</f>
        <v>0</v>
      </c>
      <c r="AA70" s="22">
        <f>LOOKUP($Z70,Lookups!$B$112:$B$133,Lookups!$O$112:$O$133)</f>
        <v>0.25</v>
      </c>
      <c r="AB70" s="23">
        <f>LOOKUP($Z70,Lookups!$B$112:$B$133,Lookups!$P$112:$P$133)</f>
        <v>0</v>
      </c>
    </row>
    <row r="71" spans="2:53" x14ac:dyDescent="0.25">
      <c r="B71" s="18">
        <v>900000</v>
      </c>
      <c r="C71" s="20">
        <f><![CDATA[IF($D$59<=3,Lookups!$C15,IF(D$59<=4,Lookups!$E15,IF(D$59<=5,Lookups!$G15,IF(D$59<=10,$I15,IF(D$59<=15,Lookups!$K15,IF(D$59<=20,Lookups!$M15,Lookups!$O15))))))]]></f>
        <v>0.4</v>
      </c>
      <c r="D71" s="36">
        <f><![CDATA[IF(D$59<=3,Lookups!$D15,IF(D$59<=4,Lookups!$F15,IF(D$59<=5,Lookups!$H15,IF(D$59<=10,$J15,IF(D$59<=15,Lookups!$L15,IF(D$59<=20,Lookups!$N15,Lookups!$P15))))))]]></f>
        <v>0</v>
      </c>
      <c r="E71" s="20">
        <f><![CDATA[IF($F$59<=3,Lookups!$C15,IF(F$59<=4,Lookups!$E15,IF(F$59<=5,Lookups!$G15,IF(F$59<=10,$I15,IF(F$59<=15,Lookups!$K15,IF(F$59<=20,Lookups!$M15,Lookups!$O15))))))]]></f>
        <v>0.4</v>
      </c>
      <c r="F71" s="36">
        <f><![CDATA[IF(F$59<=3,Lookups!$D15,IF(F$59<=4,Lookups!$F15,IF(F$59<=5,Lookups!$H15,IF(F$59<=10,$J15,IF(F$59<=15,Lookups!$L15,IF(F$59<=20,Lookups!$N15,Lookups!$P15))))))]]></f>
        <v>0</v>
      </c>
      <c r="G71" s="20">
        <f><![CDATA[IF($H$59<=3,Lookups!$C15,IF(H$59<=4,Lookups!$E15,IF(H$59<=5,Lookups!$G15,IF(H$59<=10,$I15,IF(H$59<=15,Lookups!$K15,IF(H$59<=20,Lookups!$M15,Lookups!$O15))))))]]></f>
        <v>0.4</v>
      </c>
      <c r="H71" s="36">
        <f><![CDATA[IF(H$59<=3,Lookups!$D15,IF(H$59<=4,Lookups!$F15,IF(H$59<=5,Lookups!$H15,IF(H$59<=10,$J15,IF(H$59<=15,Lookups!$L15,IF(H$59<=20,Lookups!$N15,Lookups!$P15))))))]]></f>
        <v>0</v>
      </c>
      <c r="I71" s="20">
        <f><![CDATA[IF($J$59<=3,Lookups!$C15,IF(J$59<=4,Lookups!$E15,IF(J$59<=5,Lookups!$G15,IF(J$59<=10,$I15,IF(J$59<=15,Lookups!$K15,IF(J$59<=20,Lookups!$M15,Lookups!$O15))))))]]></f>
        <v>0.4</v>
      </c>
      <c r="J71" s="36">
        <f><![CDATA[IF(J$59<=3,Lookups!$D15,IF(J$59<=4,Lookups!$F15,IF(J$59<=5,Lookups!$H15,IF(J$59<=10,$J15,IF(J$59<=15,Lookups!$L15,IF(J$59<=20,Lookups!$N15,Lookups!$P15))))))]]></f>
        <v>0</v>
      </c>
      <c r="K71" s="20">
        <f><![CDATA[IF($L$59<=3,Lookups!$C15,IF(L$59<=4,Lookups!$E15,IF(L$59<=5,Lookups!$G15,IF(L$59<=10,$I15,IF(L$59<=15,Lookups!$K15,IF(L$59<=20,Lookups!$M15,Lookups!$O15))))))]]></f>
        <v>0.4</v>
      </c>
      <c r="L71" s="36">
        <f><![CDATA[IF(L$59<=3,Lookups!$D15,IF(L$59<=4,Lookups!$F15,IF(L$59<=5,Lookups!$H15,IF(L$59<=10,$J15,IF(L$59<=15,Lookups!$L15,IF(L$59<=20,Lookups!$N15,Lookups!$P15))))))]]></f>
        <v>0</v>
      </c>
      <c r="M71" s="20">
        <f><![CDATA[IF($N$59<=3,Lookups!$C15,IF(N$59<=4,Lookups!$E15,IF(N$59<=5,Lookups!$G15,IF(N$59<=10,$I15,IF(N$59<=15,Lookups!$K15,IF(N$59<=20,Lookups!$M15,Lookups!$O15))))))]]></f>
        <v>0.4</v>
      </c>
      <c r="N71" s="36">
        <f><![CDATA[IF(N$59<=3,Lookups!$D15,IF(N$59<=4,Lookups!$F15,IF(N$59<=5,Lookups!$H15,IF(N$59<=10,$J15,IF(N$59<=15,Lookups!$L15,IF(N$59<=20,Lookups!$N15,Lookups!$P15))))))]]></f>
        <v>0</v>
      </c>
      <c r="O71" s="20">
        <f><![CDATA[IF($P$59<=3,Lookups!$C15,IF(P$59<=4,Lookups!$E15,IF(P$59<=5,Lookups!$G15,IF(P$59<=10,$I15,IF(P$59<=15,Lookups!$K15,IF(P$59<=20,Lookups!$M15,Lookups!$O15))))))]]></f>
        <v>0.4</v>
      </c>
      <c r="P71" s="36">
        <f><![CDATA[IF(P$59<=3,Lookups!$D15,IF(P$59<=4,Lookups!$F15,IF(P$59<=5,Lookups!$H15,IF(P$59<=10,$J15,IF(P$59<=15,Lookups!$L15,IF(P$59<=20,Lookups!$N15,Lookups!$P15))))))]]></f>
        <v>0</v>
      </c>
    </row>
    <row r="72" spans="2:53" ht="16.05" customHeight="1" x14ac:dyDescent="0.3">
      <c r="B72" s="18">
        <v>1000000</v>
      </c>
      <c r="C72" s="20">
        <f><![CDATA[IF($D$59<=3,Lookups!$C16,IF(D$59<=4,Lookups!$E16,IF(D$59<=5,Lookups!$G16,IF(D$59<=10,$I16,IF(D$59<=15,Lookups!$K16,IF(D$59<=20,Lookups!$M16,Lookups!$O16))))))]]></f>
        <v>0.4</v>
      </c>
      <c r="D72" s="36">
        <f><![CDATA[IF(D$59<=3,Lookups!$D16,IF(D$59<=4,Lookups!$F16,IF(D$59<=5,Lookups!$H16,IF(D$59<=10,$J16,IF(D$59<=15,Lookups!$L16,IF(D$59<=20,Lookups!$N16,Lookups!$P16))))))]]></f>
        <v>0</v>
      </c>
      <c r="E72" s="20">
        <f><![CDATA[IF($F$59<=3,Lookups!$C16,IF(F$59<=4,Lookups!$E16,IF(F$59<=5,Lookups!$G16,IF(F$59<=10,$I16,IF(F$59<=15,Lookups!$K16,IF(F$59<=20,Lookups!$M16,Lookups!$O16))))))]]></f>
        <v>0.4</v>
      </c>
      <c r="F72" s="36">
        <f><![CDATA[IF(F$59<=3,Lookups!$D16,IF(F$59<=4,Lookups!$F16,IF(F$59<=5,Lookups!$H16,IF(F$59<=10,$J16,IF(F$59<=15,Lookups!$L16,IF(F$59<=20,Lookups!$N16,Lookups!$P16))))))]]></f>
        <v>0</v>
      </c>
      <c r="G72" s="20">
        <f><![CDATA[IF($H$59<=3,Lookups!$C16,IF(H$59<=4,Lookups!$E16,IF(H$59<=5,Lookups!$G16,IF(H$59<=10,$I16,IF(H$59<=15,Lookups!$K16,IF(H$59<=20,Lookups!$M16,Lookups!$O16))))))]]></f>
        <v>0.4</v>
      </c>
      <c r="H72" s="36">
        <f><![CDATA[IF(H$59<=3,Lookups!$D16,IF(H$59<=4,Lookups!$F16,IF(H$59<=5,Lookups!$H16,IF(H$59<=10,$J16,IF(H$59<=15,Lookups!$L16,IF(H$59<=20,Lookups!$N16,Lookups!$P16))))))]]></f>
        <v>0</v>
      </c>
      <c r="I72" s="20">
        <f><![CDATA[IF($J$59<=3,Lookups!$C16,IF(J$59<=4,Lookups!$E16,IF(J$59<=5,Lookups!$G16,IF(J$59<=10,$I16,IF(J$59<=15,Lookups!$K16,IF(J$59<=20,Lookups!$M16,Lookups!$O16))))))]]></f>
        <v>0.4</v>
      </c>
      <c r="J72" s="36">
        <f><![CDATA[IF(J$59<=3,Lookups!$D16,IF(J$59<=4,Lookups!$F16,IF(J$59<=5,Lookups!$H16,IF(J$59<=10,$J16,IF(J$59<=15,Lookups!$L16,IF(J$59<=20,Lookups!$N16,Lookups!$P16))))))]]></f>
        <v>0</v>
      </c>
      <c r="K72" s="20">
        <f><![CDATA[IF($L$59<=3,Lookups!$C16,IF(L$59<=4,Lookups!$E16,IF(L$59<=5,Lookups!$G16,IF(L$59<=10,$I16,IF(L$59<=15,Lookups!$K16,IF(L$59<=20,Lookups!$M16,Lookups!$O16))))))]]></f>
        <v>0.4</v>
      </c>
      <c r="L72" s="36">
        <f><![CDATA[IF(L$59<=3,Lookups!$D16,IF(L$59<=4,Lookups!$F16,IF(L$59<=5,Lookups!$H16,IF(L$59<=10,$J16,IF(L$59<=15,Lookups!$L16,IF(L$59<=20,Lookups!$N16,Lookups!$P16))))))]]></f>
        <v>0</v>
      </c>
      <c r="M72" s="20">
        <f><![CDATA[IF($N$59<=3,Lookups!$C16,IF(N$59<=4,Lookups!$E16,IF(N$59<=5,Lookups!$G16,IF(N$59<=10,$I16,IF(N$59<=15,Lookups!$K16,IF(N$59<=20,Lookups!$M16,Lookups!$O16))))))]]></f>
        <v>0.4</v>
      </c>
      <c r="N72" s="36">
        <f><![CDATA[IF(N$59<=3,Lookups!$D16,IF(N$59<=4,Lookups!$F16,IF(N$59<=5,Lookups!$H16,IF(N$59<=10,$J16,IF(N$59<=15,Lookups!$L16,IF(N$59<=20,Lookups!$N16,Lookups!$P16))))))]]></f>
        <v>0</v>
      </c>
      <c r="O72" s="20">
        <f><![CDATA[IF($P$59<=3,Lookups!$C16,IF(P$59<=4,Lookups!$E16,IF(P$59<=5,Lookups!$G16,IF(P$59<=10,$I16,IF(P$59<=15,Lookups!$K16,IF(P$59<=20,Lookups!$M16,Lookups!$O16))))))]]></f>
        <v>0.4</v>
      </c>
      <c r="P72" s="36">
        <f><![CDATA[IF(P$59<=3,Lookups!$D16,IF(P$59<=4,Lookups!$F16,IF(P$59<=5,Lookups!$H16,IF(P$59<=10,$J16,IF(P$59<=15,Lookups!$L16,IF(P$59<=20,Lookups!$N16,Lookups!$P16))))))]]></f>
        <v>0</v>
      </c>
      <c r="V72" s="209" t="s">
        <v>50</v>
      </c>
      <c r="W72" s="210"/>
      <c r="X72" s="211"/>
      <c r="Y72" s="146"/>
      <c r="Z72" s="208" t="s">
        <v>50</v>
      </c>
      <c r="AA72" s="208"/>
      <c r="AB72" s="208"/>
    </row>
    <row r="73" spans="2:53" x14ac:dyDescent="0.25">
      <c r="B73" s="18">
        <v>1100000</v>
      </c>
      <c r="C73" s="20">
        <f><![CDATA[IF($D$59<=3,Lookups!$C17,IF(D$59<=4,Lookups!$E17,IF(D$59<=5,Lookups!$G17,IF(D$59<=10,$I17,IF(D$59<=15,Lookups!$K17,IF(D$59<=20,Lookups!$M17,Lookups!$O17))))))]]></f>
        <v>0.4</v>
      </c>
      <c r="D73" s="36">
        <f><![CDATA[IF(D$59<=3,Lookups!$D17,IF(D$59<=4,Lookups!$F17,IF(D$59<=5,Lookups!$H17,IF(D$59<=10,$J17,IF(D$59<=15,Lookups!$L17,IF(D$59<=20,Lookups!$N17,Lookups!$P17))))))]]></f>
        <v>0.01</v>
      </c>
      <c r="E73" s="20">
        <f><![CDATA[IF($F$59<=3,Lookups!$C17,IF(F$59<=4,Lookups!$E17,IF(F$59<=5,Lookups!$G17,IF(F$59<=10,$I17,IF(F$59<=15,Lookups!$K17,IF(F$59<=20,Lookups!$M17,Lookups!$O17))))))]]></f>
        <v>0.4</v>
      </c>
      <c r="F73" s="36">
        <f><![CDATA[IF(F$59<=3,Lookups!$D17,IF(F$59<=4,Lookups!$F17,IF(F$59<=5,Lookups!$H17,IF(F$59<=10,$J17,IF(F$59<=15,Lookups!$L17,IF(F$59<=20,Lookups!$N17,Lookups!$P17))))))]]></f>
        <v>0.01</v>
      </c>
      <c r="G73" s="20">
        <f><![CDATA[IF($H$59<=3,Lookups!$C17,IF(H$59<=4,Lookups!$E17,IF(H$59<=5,Lookups!$G17,IF(H$59<=10,$I17,IF(H$59<=15,Lookups!$K17,IF(H$59<=20,Lookups!$M17,Lookups!$O17))))))]]></f>
        <v>0.4</v>
      </c>
      <c r="H73" s="36">
        <f><![CDATA[IF(H$59<=3,Lookups!$D17,IF(H$59<=4,Lookups!$F17,IF(H$59<=5,Lookups!$H17,IF(H$59<=10,$J17,IF(H$59<=15,Lookups!$L17,IF(H$59<=20,Lookups!$N17,Lookups!$P17))))))]]></f>
        <v>0.01</v>
      </c>
      <c r="I73" s="20">
        <f><![CDATA[IF($J$59<=3,Lookups!$C17,IF(J$59<=4,Lookups!$E17,IF(J$59<=5,Lookups!$G17,IF(J$59<=10,$I17,IF(J$59<=15,Lookups!$K17,IF(J$59<=20,Lookups!$M17,Lookups!$O17))))))]]></f>
        <v>0.4</v>
      </c>
      <c r="J73" s="36">
        <f><![CDATA[IF(J$59<=3,Lookups!$D17,IF(J$59<=4,Lookups!$F17,IF(J$59<=5,Lookups!$H17,IF(J$59<=10,$J17,IF(J$59<=15,Lookups!$L17,IF(J$59<=20,Lookups!$N17,Lookups!$P17))))))]]></f>
        <v>0.01</v>
      </c>
      <c r="K73" s="20">
        <f><![CDATA[IF($L$59<=3,Lookups!$C17,IF(L$59<=4,Lookups!$E17,IF(L$59<=5,Lookups!$G17,IF(L$59<=10,$I17,IF(L$59<=15,Lookups!$K17,IF(L$59<=20,Lookups!$M17,Lookups!$O17))))))]]></f>
        <v>0.4</v>
      </c>
      <c r="L73" s="36">
        <f><![CDATA[IF(L$59<=3,Lookups!$D17,IF(L$59<=4,Lookups!$F17,IF(L$59<=5,Lookups!$H17,IF(L$59<=10,$J17,IF(L$59<=15,Lookups!$L17,IF(L$59<=20,Lookups!$N17,Lookups!$P17))))))]]></f>
        <v>0.01</v>
      </c>
      <c r="M73" s="20">
        <f><![CDATA[IF($N$59<=3,Lookups!$C17,IF(N$59<=4,Lookups!$E17,IF(N$59<=5,Lookups!$G17,IF(N$59<=10,$I17,IF(N$59<=15,Lookups!$K17,IF(N$59<=20,Lookups!$M17,Lookups!$O17))))))]]></f>
        <v>0.4</v>
      </c>
      <c r="N73" s="36">
        <f><![CDATA[IF(N$59<=3,Lookups!$D17,IF(N$59<=4,Lookups!$F17,IF(N$59<=5,Lookups!$H17,IF(N$59<=10,$J17,IF(N$59<=15,Lookups!$L17,IF(N$59<=20,Lookups!$N17,Lookups!$P17))))))]]></f>
        <v>0.01</v>
      </c>
      <c r="O73" s="20">
        <f><![CDATA[IF($P$59<=3,Lookups!$C17,IF(P$59<=4,Lookups!$E17,IF(P$59<=5,Lookups!$G17,IF(P$59<=10,$I17,IF(P$59<=15,Lookups!$K17,IF(P$59<=20,Lookups!$M17,Lookups!$O17))))))]]></f>
        <v>0.4</v>
      </c>
      <c r="P73" s="36">
        <f><![CDATA[IF(P$59<=3,Lookups!$D17,IF(P$59<=4,Lookups!$F17,IF(P$59<=5,Lookups!$H17,IF(P$59<=10,$J17,IF(P$59<=15,Lookups!$L17,IF(P$59<=20,Lookups!$N17,Lookups!$P17))))))]]></f>
        <v>0.01</v>
      </c>
      <c r="U73" t="s" s="0">
        <v>27</v>
      </c>
      <c r="V73" s="24"/>
      <c r="W73" s="25" t="s">
        <v>51</v>
      </c>
      <c r="X73" s="26" t="s">
        <v>52</v>
      </c>
      <c r="Z73" s="1"/>
      <c r="AA73" s="1" t="s">
        <v>51</v>
      </c>
      <c r="AB73" s="1" t="s">
        <v>52</v>
      </c>
    </row>
    <row r="74" spans="2:53" x14ac:dyDescent="0.25">
      <c r="B74" s="18">
        <v>1200000</v>
      </c>
      <c r="C74" s="20">
        <f><![CDATA[IF($D$59<=3,Lookups!$C18,IF(D$59<=4,Lookups!$E18,IF(D$59<=5,Lookups!$G18,IF(D$59<=10,$I18,IF(D$59<=15,Lookups!$K18,IF(D$59<=20,Lookups!$M18,Lookups!$O18))))))]]></f>
        <v>0.4</v>
      </c>
      <c r="D74" s="36">
        <f><![CDATA[IF(D$59<=3,Lookups!$D18,IF(D$59<=4,Lookups!$F18,IF(D$59<=5,Lookups!$H18,IF(D$59<=10,$J18,IF(D$59<=15,Lookups!$L18,IF(D$59<=20,Lookups!$N18,Lookups!$P18))))))]]></f>
        <v>0.01</v>
      </c>
      <c r="E74" s="20">
        <f><![CDATA[IF($F$59<=3,Lookups!$C18,IF(F$59<=4,Lookups!$E18,IF(F$59<=5,Lookups!$G18,IF(F$59<=10,$I18,IF(F$59<=15,Lookups!$K18,IF(F$59<=20,Lookups!$M18,Lookups!$O18))))))]]></f>
        <v>0.4</v>
      </c>
      <c r="F74" s="36">
        <f><![CDATA[IF(F$59<=3,Lookups!$D18,IF(F$59<=4,Lookups!$F18,IF(F$59<=5,Lookups!$H18,IF(F$59<=10,$J18,IF(F$59<=15,Lookups!$L18,IF(F$59<=20,Lookups!$N18,Lookups!$P18))))))]]></f>
        <v>0.01</v>
      </c>
      <c r="G74" s="20">
        <f><![CDATA[IF($H$59<=3,Lookups!$C18,IF(H$59<=4,Lookups!$E18,IF(H$59<=5,Lookups!$G18,IF(H$59<=10,$I18,IF(H$59<=15,Lookups!$K18,IF(H$59<=20,Lookups!$M18,Lookups!$O18))))))]]></f>
        <v>0.4</v>
      </c>
      <c r="H74" s="36">
        <f><![CDATA[IF(H$59<=3,Lookups!$D18,IF(H$59<=4,Lookups!$F18,IF(H$59<=5,Lookups!$H18,IF(H$59<=10,$J18,IF(H$59<=15,Lookups!$L18,IF(H$59<=20,Lookups!$N18,Lookups!$P18))))))]]></f>
        <v>0.01</v>
      </c>
      <c r="I74" s="20">
        <f><![CDATA[IF($J$59<=3,Lookups!$C18,IF(J$59<=4,Lookups!$E18,IF(J$59<=5,Lookups!$G18,IF(J$59<=10,$I18,IF(J$59<=15,Lookups!$K18,IF(J$59<=20,Lookups!$M18,Lookups!$O18))))))]]></f>
        <v>0.4</v>
      </c>
      <c r="J74" s="36">
        <f><![CDATA[IF(J$59<=3,Lookups!$D18,IF(J$59<=4,Lookups!$F18,IF(J$59<=5,Lookups!$H18,IF(J$59<=10,$J18,IF(J$59<=15,Lookups!$L18,IF(J$59<=20,Lookups!$N18,Lookups!$P18))))))]]></f>
        <v>0.01</v>
      </c>
      <c r="K74" s="20">
        <f><![CDATA[IF($L$59<=3,Lookups!$C18,IF(L$59<=4,Lookups!$E18,IF(L$59<=5,Lookups!$G18,IF(L$59<=10,$I18,IF(L$59<=15,Lookups!$K18,IF(L$59<=20,Lookups!$M18,Lookups!$O18))))))]]></f>
        <v>0.4</v>
      </c>
      <c r="L74" s="36">
        <f><![CDATA[IF(L$59<=3,Lookups!$D18,IF(L$59<=4,Lookups!$F18,IF(L$59<=5,Lookups!$H18,IF(L$59<=10,$J18,IF(L$59<=15,Lookups!$L18,IF(L$59<=20,Lookups!$N18,Lookups!$P18))))))]]></f>
        <v>0.01</v>
      </c>
      <c r="M74" s="20">
        <f><![CDATA[IF($N$59<=3,Lookups!$C18,IF(N$59<=4,Lookups!$E18,IF(N$59<=5,Lookups!$G18,IF(N$59<=10,$I18,IF(N$59<=15,Lookups!$K18,IF(N$59<=20,Lookups!$M18,Lookups!$O18))))))]]></f>
        <v>0.4</v>
      </c>
      <c r="N74" s="36">
        <f><![CDATA[IF(N$59<=3,Lookups!$D18,IF(N$59<=4,Lookups!$F18,IF(N$59<=5,Lookups!$H18,IF(N$59<=10,$J18,IF(N$59<=15,Lookups!$L18,IF(N$59<=20,Lookups!$N18,Lookups!$P18))))))]]></f>
        <v>0.01</v>
      </c>
      <c r="O74" s="20">
        <f><![CDATA[IF($P$59<=3,Lookups!$C18,IF(P$59<=4,Lookups!$E18,IF(P$59<=5,Lookups!$G18,IF(P$59<=10,$I18,IF(P$59<=15,Lookups!$K18,IF(P$59<=20,Lookups!$M18,Lookups!$O18))))))]]></f>
        <v>0.4</v>
      </c>
      <c r="P74" s="36">
        <f><![CDATA[IF(P$59<=3,Lookups!$D18,IF(P$59<=4,Lookups!$F18,IF(P$59<=5,Lookups!$H18,IF(P$59<=10,$J18,IF(P$59<=15,Lookups!$L18,IF(P$59<=20,Lookups!$N18,Lookups!$P18))))))]]></f>
        <v>0.01</v>
      </c>
      <c r="V74" s="21">
        <f>Receiving!D93</f>
        <v>0</v>
      </c>
      <c r="W74" s="22">
        <f>LOOKUP($V74,Lookups!$B$138:$B$159,Lookups!$C$138:$C$159)</f>
        <v>0.25</v>
      </c>
      <c r="X74" s="23">
        <f>LOOKUP($V74,Lookups!$B$138:$B$159,Lookups!$D$138:$D$159)</f>
        <v>0</v>
      </c>
      <c r="Z74" s="21">
        <f>Receiving!K93</f>
        <v>0</v>
      </c>
      <c r="AA74" s="22">
        <f>LOOKUP($Z74,Lookups!$B$138:$B$159,Lookups!$C$138:$C$159)</f>
        <v>0.25</v>
      </c>
      <c r="AB74" s="23">
        <f>LOOKUP($Z74,Lookups!$B$138:$B$159,Lookups!$D$138:$D$159)</f>
        <v>0</v>
      </c>
    </row>
    <row r="75" spans="2:53" x14ac:dyDescent="0.25">
      <c r="B75" s="18">
        <v>1300000</v>
      </c>
      <c r="C75" s="20">
        <f><![CDATA[IF($D$59<=3,Lookups!$C19,IF(D$59<=4,Lookups!$E19,IF(D$59<=5,Lookups!$G19,IF(D$59<=10,$I19,IF(D$59<=15,Lookups!$K19,IF(D$59<=20,Lookups!$M19,Lookups!$O19))))))]]></f>
        <v>0.4</v>
      </c>
      <c r="D75" s="36">
        <f><![CDATA[IF(D$59<=3,Lookups!$D19,IF(D$59<=4,Lookups!$F19,IF(D$59<=5,Lookups!$H19,IF(D$59<=10,$J19,IF(D$59<=15,Lookups!$L19,IF(D$59<=20,Lookups!$N19,Lookups!$P19))))))]]></f>
        <v>0.01</v>
      </c>
      <c r="E75" s="20">
        <f><![CDATA[IF($F$59<=3,Lookups!$C19,IF(F$59<=4,Lookups!$E19,IF(F$59<=5,Lookups!$G19,IF(F$59<=10,$I19,IF(F$59<=15,Lookups!$K19,IF(F$59<=20,Lookups!$M19,Lookups!$O19))))))]]></f>
        <v>0.4</v>
      </c>
      <c r="F75" s="36">
        <f><![CDATA[IF(F$59<=3,Lookups!$D19,IF(F$59<=4,Lookups!$F19,IF(F$59<=5,Lookups!$H19,IF(F$59<=10,$J19,IF(F$59<=15,Lookups!$L19,IF(F$59<=20,Lookups!$N19,Lookups!$P19))))))]]></f>
        <v>0.01</v>
      </c>
      <c r="G75" s="20">
        <f><![CDATA[IF($H$59<=3,Lookups!$C19,IF(H$59<=4,Lookups!$E19,IF(H$59<=5,Lookups!$G19,IF(H$59<=10,$I19,IF(H$59<=15,Lookups!$K19,IF(H$59<=20,Lookups!$M19,Lookups!$O19))))))]]></f>
        <v>0.4</v>
      </c>
      <c r="H75" s="36">
        <f><![CDATA[IF(H$59<=3,Lookups!$D19,IF(H$59<=4,Lookups!$F19,IF(H$59<=5,Lookups!$H19,IF(H$59<=10,$J19,IF(H$59<=15,Lookups!$L19,IF(H$59<=20,Lookups!$N19,Lookups!$P19))))))]]></f>
        <v>0.01</v>
      </c>
      <c r="I75" s="20">
        <f><![CDATA[IF($J$59<=3,Lookups!$C19,IF(J$59<=4,Lookups!$E19,IF(J$59<=5,Lookups!$G19,IF(J$59<=10,$I19,IF(J$59<=15,Lookups!$K19,IF(J$59<=20,Lookups!$M19,Lookups!$O19))))))]]></f>
        <v>0.4</v>
      </c>
      <c r="J75" s="36">
        <f><![CDATA[IF(J$59<=3,Lookups!$D19,IF(J$59<=4,Lookups!$F19,IF(J$59<=5,Lookups!$H19,IF(J$59<=10,$J19,IF(J$59<=15,Lookups!$L19,IF(J$59<=20,Lookups!$N19,Lookups!$P19))))))]]></f>
        <v>0.01</v>
      </c>
      <c r="K75" s="20">
        <f><![CDATA[IF($L$59<=3,Lookups!$C19,IF(L$59<=4,Lookups!$E19,IF(L$59<=5,Lookups!$G19,IF(L$59<=10,$I19,IF(L$59<=15,Lookups!$K19,IF(L$59<=20,Lookups!$M19,Lookups!$O19))))))]]></f>
        <v>0.4</v>
      </c>
      <c r="L75" s="36">
        <f><![CDATA[IF(L$59<=3,Lookups!$D19,IF(L$59<=4,Lookups!$F19,IF(L$59<=5,Lookups!$H19,IF(L$59<=10,$J19,IF(L$59<=15,Lookups!$L19,IF(L$59<=20,Lookups!$N19,Lookups!$P19))))))]]></f>
        <v>0.01</v>
      </c>
      <c r="M75" s="20">
        <f><![CDATA[IF($N$59<=3,Lookups!$C19,IF(N$59<=4,Lookups!$E19,IF(N$59<=5,Lookups!$G19,IF(N$59<=10,$I19,IF(N$59<=15,Lookups!$K19,IF(N$59<=20,Lookups!$M19,Lookups!$O19))))))]]></f>
        <v>0.4</v>
      </c>
      <c r="N75" s="36">
        <f><![CDATA[IF(N$59<=3,Lookups!$D19,IF(N$59<=4,Lookups!$F19,IF(N$59<=5,Lookups!$H19,IF(N$59<=10,$J19,IF(N$59<=15,Lookups!$L19,IF(N$59<=20,Lookups!$N19,Lookups!$P19))))))]]></f>
        <v>0.01</v>
      </c>
      <c r="O75" s="20">
        <f><![CDATA[IF($P$59<=3,Lookups!$C19,IF(P$59<=4,Lookups!$E19,IF(P$59<=5,Lookups!$G19,IF(P$59<=10,$I19,IF(P$59<=15,Lookups!$K19,IF(P$59<=20,Lookups!$M19,Lookups!$O19))))))]]></f>
        <v>0.4</v>
      </c>
      <c r="P75" s="36">
        <f><![CDATA[IF(P$59<=3,Lookups!$D19,IF(P$59<=4,Lookups!$F19,IF(P$59<=5,Lookups!$H19,IF(P$59<=10,$J19,IF(P$59<=15,Lookups!$L19,IF(P$59<=20,Lookups!$N19,Lookups!$P19))))))]]></f>
        <v>0.01</v>
      </c>
      <c r="V75" s="21">
        <f>Receiving!D94</f>
        <v>0</v>
      </c>
      <c r="W75" s="22">
        <f>LOOKUP($V75,Lookups!$B$138:$B$159,Lookups!$E$138:$E$159)</f>
        <v>0.25</v>
      </c>
      <c r="X75" s="23">
        <f>LOOKUP($V75,Lookups!$B$86:$B$107,Lookups!$F$86:$F$107)</f>
        <v>0</v>
      </c>
      <c r="Z75" s="21">
        <f>Receiving!K94</f>
        <v>0</v>
      </c>
      <c r="AA75" s="22">
        <f>LOOKUP($Z75,Lookups!$B$138:$B$159,Lookups!$E$138:$E$159)</f>
        <v>0.25</v>
      </c>
      <c r="AB75" s="23">
        <f>LOOKUP($Z75,Lookups!$B$138:$B$159,Lookups!$F$138:$F$159)</f>
        <v>0</v>
      </c>
    </row>
    <row r="76" spans="2:53" x14ac:dyDescent="0.25">
      <c r="B76" s="18">
        <v>1400000</v>
      </c>
      <c r="C76" s="20">
        <f><![CDATA[IF($D$59<=3,Lookups!$C20,IF(D$59<=4,Lookups!$E20,IF(D$59<=5,Lookups!$G20,IF(D$59<=10,$I20,IF(D$59<=15,Lookups!$K20,IF(D$59<=20,Lookups!$M20,Lookups!$O20))))))]]></f>
        <v>0.4</v>
      </c>
      <c r="D76" s="36">
        <f><![CDATA[IF(D$59<=3,Lookups!$D20,IF(D$59<=4,Lookups!$F20,IF(D$59<=5,Lookups!$H20,IF(D$59<=10,$J20,IF(D$59<=15,Lookups!$L20,IF(D$59<=20,Lookups!$N20,Lookups!$P20))))))]]></f>
        <v>0.01</v>
      </c>
      <c r="E76" s="20">
        <f><![CDATA[IF($F$59<=3,Lookups!$C20,IF(F$59<=4,Lookups!$E20,IF(F$59<=5,Lookups!$G20,IF(F$59<=10,$I20,IF(F$59<=15,Lookups!$K20,IF(F$59<=20,Lookups!$M20,Lookups!$O20))))))]]></f>
        <v>0.4</v>
      </c>
      <c r="F76" s="36">
        <f><![CDATA[IF(F$59<=3,Lookups!$D20,IF(F$59<=4,Lookups!$F20,IF(F$59<=5,Lookups!$H20,IF(F$59<=10,$J20,IF(F$59<=15,Lookups!$L20,IF(F$59<=20,Lookups!$N20,Lookups!$P20))))))]]></f>
        <v>0.01</v>
      </c>
      <c r="G76" s="20">
        <f><![CDATA[IF($H$59<=3,Lookups!$C20,IF(H$59<=4,Lookups!$E20,IF(H$59<=5,Lookups!$G20,IF(H$59<=10,$I20,IF(H$59<=15,Lookups!$K20,IF(H$59<=20,Lookups!$M20,Lookups!$O20))))))]]></f>
        <v>0.4</v>
      </c>
      <c r="H76" s="36">
        <f><![CDATA[IF(H$59<=3,Lookups!$D20,IF(H$59<=4,Lookups!$F20,IF(H$59<=5,Lookups!$H20,IF(H$59<=10,$J20,IF(H$59<=15,Lookups!$L20,IF(H$59<=20,Lookups!$N20,Lookups!$P20))))))]]></f>
        <v>0.01</v>
      </c>
      <c r="I76" s="20">
        <f><![CDATA[IF($J$59<=3,Lookups!$C20,IF(J$59<=4,Lookups!$E20,IF(J$59<=5,Lookups!$G20,IF(J$59<=10,$I20,IF(J$59<=15,Lookups!$K20,IF(J$59<=20,Lookups!$M20,Lookups!$O20))))))]]></f>
        <v>0.4</v>
      </c>
      <c r="J76" s="36">
        <f><![CDATA[IF(J$59<=3,Lookups!$D20,IF(J$59<=4,Lookups!$F20,IF(J$59<=5,Lookups!$H20,IF(J$59<=10,$J20,IF(J$59<=15,Lookups!$L20,IF(J$59<=20,Lookups!$N20,Lookups!$P20))))))]]></f>
        <v>0.01</v>
      </c>
      <c r="K76" s="20">
        <f><![CDATA[IF($L$59<=3,Lookups!$C20,IF(L$59<=4,Lookups!$E20,IF(L$59<=5,Lookups!$G20,IF(L$59<=10,$I20,IF(L$59<=15,Lookups!$K20,IF(L$59<=20,Lookups!$M20,Lookups!$O20))))))]]></f>
        <v>0.4</v>
      </c>
      <c r="L76" s="36">
        <f><![CDATA[IF(L$59<=3,Lookups!$D20,IF(L$59<=4,Lookups!$F20,IF(L$59<=5,Lookups!$H20,IF(L$59<=10,$J20,IF(L$59<=15,Lookups!$L20,IF(L$59<=20,Lookups!$N20,Lookups!$P20))))))]]></f>
        <v>0.01</v>
      </c>
      <c r="M76" s="20">
        <f><![CDATA[IF($N$59<=3,Lookups!$C20,IF(N$59<=4,Lookups!$E20,IF(N$59<=5,Lookups!$G20,IF(N$59<=10,$I20,IF(N$59<=15,Lookups!$K20,IF(N$59<=20,Lookups!$M20,Lookups!$O20))))))]]></f>
        <v>0.4</v>
      </c>
      <c r="N76" s="36">
        <f><![CDATA[IF(N$59<=3,Lookups!$D20,IF(N$59<=4,Lookups!$F20,IF(N$59<=5,Lookups!$H20,IF(N$59<=10,$J20,IF(N$59<=15,Lookups!$L20,IF(N$59<=20,Lookups!$N20,Lookups!$P20))))))]]></f>
        <v>0.01</v>
      </c>
      <c r="O76" s="20">
        <f><![CDATA[IF($P$59<=3,Lookups!$C20,IF(P$59<=4,Lookups!$E20,IF(P$59<=5,Lookups!$G20,IF(P$59<=10,$I20,IF(P$59<=15,Lookups!$K20,IF(P$59<=20,Lookups!$M20,Lookups!$O20))))))]]></f>
        <v>0.4</v>
      </c>
      <c r="P76" s="36">
        <f><![CDATA[IF(P$59<=3,Lookups!$D20,IF(P$59<=4,Lookups!$F20,IF(P$59<=5,Lookups!$H20,IF(P$59<=10,$J20,IF(P$59<=15,Lookups!$L20,IF(P$59<=20,Lookups!$N20,Lookups!$P20))))))]]></f>
        <v>0.01</v>
      </c>
      <c r="V76" s="21">
        <f>Receiving!D95</f>
        <v>0</v>
      </c>
      <c r="W76" s="22">
        <f>LOOKUP($V76,Lookups!$B$138:$B$159,Lookups!$G$138:$G$159)</f>
        <v>0.25</v>
      </c>
      <c r="X76" s="23">
        <f>LOOKUP($V76,Lookups!$B$86:$B$107,Lookups!$H$86:$H$107)</f>
        <v>0</v>
      </c>
      <c r="Z76" s="21">
        <f>Receiving!K95</f>
        <v>0</v>
      </c>
      <c r="AA76" s="22">
        <f>LOOKUP($Z76,Lookups!$B$138:$B$159,Lookups!$G$138:$G$159)</f>
        <v>0.25</v>
      </c>
      <c r="AB76" s="23">
        <f>LOOKUP($Z76,Lookups!$B$138:$B$159,Lookups!$H$138:$H$159)</f>
        <v>0</v>
      </c>
    </row>
    <row r="77" spans="2:53" x14ac:dyDescent="0.25">
      <c r="B77" s="18">
        <v>1500000</v>
      </c>
      <c r="C77" s="20">
        <f><![CDATA[IF($D$59<=3,Lookups!$C21,IF(D$59<=4,Lookups!$E21,IF(D$59<=5,Lookups!$G21,IF(D$59<=10,$I21,IF(D$59<=15,Lookups!$K21,IF(D$59<=20,Lookups!$M21,Lookups!$O21))))))]]></f>
        <v>0.4</v>
      </c>
      <c r="D77" s="36">
        <f><![CDATA[IF(D$59<=3,Lookups!$D21,IF(D$59<=4,Lookups!$F21,IF(D$59<=5,Lookups!$H21,IF(D$59<=10,$J21,IF(D$59<=15,Lookups!$L21,IF(D$59<=20,Lookups!$N21,Lookups!$P21))))))]]></f>
        <v>0.01</v>
      </c>
      <c r="E77" s="20">
        <f><![CDATA[IF($F$59<=3,Lookups!$C21,IF(F$59<=4,Lookups!$E21,IF(F$59<=5,Lookups!$G21,IF(F$59<=10,$I21,IF(F$59<=15,Lookups!$K21,IF(F$59<=20,Lookups!$M21,Lookups!$O21))))))]]></f>
        <v>0.4</v>
      </c>
      <c r="F77" s="36">
        <f><![CDATA[IF(F$59<=3,Lookups!$D21,IF(F$59<=4,Lookups!$F21,IF(F$59<=5,Lookups!$H21,IF(F$59<=10,$J21,IF(F$59<=15,Lookups!$L21,IF(F$59<=20,Lookups!$N21,Lookups!$P21))))))]]></f>
        <v>0.01</v>
      </c>
      <c r="G77" s="20">
        <f><![CDATA[IF($H$59<=3,Lookups!$C21,IF(H$59<=4,Lookups!$E21,IF(H$59<=5,Lookups!$G21,IF(H$59<=10,$I21,IF(H$59<=15,Lookups!$K21,IF(H$59<=20,Lookups!$M21,Lookups!$O21))))))]]></f>
        <v>0.4</v>
      </c>
      <c r="H77" s="36">
        <f><![CDATA[IF(H$59<=3,Lookups!$D21,IF(H$59<=4,Lookups!$F21,IF(H$59<=5,Lookups!$H21,IF(H$59<=10,$J21,IF(H$59<=15,Lookups!$L21,IF(H$59<=20,Lookups!$N21,Lookups!$P21))))))]]></f>
        <v>0.01</v>
      </c>
      <c r="I77" s="20">
        <f><![CDATA[IF($J$59<=3,Lookups!$C21,IF(J$59<=4,Lookups!$E21,IF(J$59<=5,Lookups!$G21,IF(J$59<=10,$I21,IF(J$59<=15,Lookups!$K21,IF(J$59<=20,Lookups!$M21,Lookups!$O21))))))]]></f>
        <v>0.4</v>
      </c>
      <c r="J77" s="36">
        <f><![CDATA[IF(J$59<=3,Lookups!$D21,IF(J$59<=4,Lookups!$F21,IF(J$59<=5,Lookups!$H21,IF(J$59<=10,$J21,IF(J$59<=15,Lookups!$L21,IF(J$59<=20,Lookups!$N21,Lookups!$P21))))))]]></f>
        <v>0.01</v>
      </c>
      <c r="K77" s="20">
        <f><![CDATA[IF($L$59<=3,Lookups!$C21,IF(L$59<=4,Lookups!$E21,IF(L$59<=5,Lookups!$G21,IF(L$59<=10,$I21,IF(L$59<=15,Lookups!$K21,IF(L$59<=20,Lookups!$M21,Lookups!$O21))))))]]></f>
        <v>0.4</v>
      </c>
      <c r="L77" s="36">
        <f><![CDATA[IF(L$59<=3,Lookups!$D21,IF(L$59<=4,Lookups!$F21,IF(L$59<=5,Lookups!$H21,IF(L$59<=10,$J21,IF(L$59<=15,Lookups!$L21,IF(L$59<=20,Lookups!$N21,Lookups!$P21))))))]]></f>
        <v>0.01</v>
      </c>
      <c r="M77" s="20">
        <f><![CDATA[IF($N$59<=3,Lookups!$C21,IF(N$59<=4,Lookups!$E21,IF(N$59<=5,Lookups!$G21,IF(N$59<=10,$I21,IF(N$59<=15,Lookups!$K21,IF(N$59<=20,Lookups!$M21,Lookups!$O21))))))]]></f>
        <v>0.4</v>
      </c>
      <c r="N77" s="36">
        <f><![CDATA[IF(N$59<=3,Lookups!$D21,IF(N$59<=4,Lookups!$F21,IF(N$59<=5,Lookups!$H21,IF(N$59<=10,$J21,IF(N$59<=15,Lookups!$L21,IF(N$59<=20,Lookups!$N21,Lookups!$P21))))))]]></f>
        <v>0.01</v>
      </c>
      <c r="O77" s="20">
        <f><![CDATA[IF($P$59<=3,Lookups!$C21,IF(P$59<=4,Lookups!$E21,IF(P$59<=5,Lookups!$G21,IF(P$59<=10,$I21,IF(P$59<=15,Lookups!$K21,IF(P$59<=20,Lookups!$M21,Lookups!$O21))))))]]></f>
        <v>0.4</v>
      </c>
      <c r="P77" s="36">
        <f><![CDATA[IF(P$59<=3,Lookups!$D21,IF(P$59<=4,Lookups!$F21,IF(P$59<=5,Lookups!$H21,IF(P$59<=10,$J21,IF(P$59<=15,Lookups!$L21,IF(P$59<=20,Lookups!$N21,Lookups!$P21))))))]]></f>
        <v>0.01</v>
      </c>
      <c r="V77" s="21">
        <f>Receiving!D96</f>
        <v>0</v>
      </c>
      <c r="W77" s="22">
        <f>LOOKUP($V77,Lookups!$B$138:$B$159,Lookups!$I$138:$I$159)</f>
        <v>0.25</v>
      </c>
      <c r="X77" s="23">
        <f>LOOKUP($V77,Lookups!$B$86:$B$107,Lookups!$J$86:$J$107)</f>
        <v>0</v>
      </c>
      <c r="Z77" s="21">
        <f>Receiving!K96</f>
        <v>0</v>
      </c>
      <c r="AA77" s="22">
        <f>LOOKUP($Z77,Lookups!$B$138:$B$159,Lookups!$I$138:$I$159)</f>
        <v>0.25</v>
      </c>
      <c r="AB77" s="23">
        <f>LOOKUP($Z77,Lookups!$B$138:$B$159,Lookups!$J$138:$J$159)</f>
        <v>0</v>
      </c>
    </row>
    <row r="78" spans="2:53" x14ac:dyDescent="0.25">
      <c r="B78" s="18">
        <v>1600000</v>
      </c>
      <c r="C78" s="20">
        <f><![CDATA[IF($D$59<=3,Lookups!$C22,IF(D$59<=4,Lookups!$E22,IF(D$59<=5,Lookups!$G22,IF(D$59<=10,$I22,IF(D$59<=15,Lookups!$K22,IF(D$59<=20,Lookups!$M22,Lookups!$O22))))))]]></f>
        <v>0.4</v>
      </c>
      <c r="D78" s="36">
        <f><![CDATA[IF(D$59<=3,Lookups!$D22,IF(D$59<=4,Lookups!$F22,IF(D$59<=5,Lookups!$H22,IF(D$59<=10,$J22,IF(D$59<=15,Lookups!$L22,IF(D$59<=20,Lookups!$N22,Lookups!$P22))))))]]></f>
        <v>0.01</v>
      </c>
      <c r="E78" s="20">
        <f><![CDATA[IF($F$59<=3,Lookups!$C22,IF(F$59<=4,Lookups!$E22,IF(F$59<=5,Lookups!$G22,IF(F$59<=10,$I22,IF(F$59<=15,Lookups!$K22,IF(F$59<=20,Lookups!$M22,Lookups!$O22))))))]]></f>
        <v>0.4</v>
      </c>
      <c r="F78" s="36">
        <f><![CDATA[IF(F$59<=3,Lookups!$D22,IF(F$59<=4,Lookups!$F22,IF(F$59<=5,Lookups!$H22,IF(F$59<=10,$J22,IF(F$59<=15,Lookups!$L22,IF(F$59<=20,Lookups!$N22,Lookups!$P22))))))]]></f>
        <v>0.01</v>
      </c>
      <c r="G78" s="20">
        <f><![CDATA[IF($H$59<=3,Lookups!$C22,IF(H$59<=4,Lookups!$E22,IF(H$59<=5,Lookups!$G22,IF(H$59<=10,$I22,IF(H$59<=15,Lookups!$K22,IF(H$59<=20,Lookups!$M22,Lookups!$O22))))))]]></f>
        <v>0.4</v>
      </c>
      <c r="H78" s="36">
        <f><![CDATA[IF(H$59<=3,Lookups!$D22,IF(H$59<=4,Lookups!$F22,IF(H$59<=5,Lookups!$H22,IF(H$59<=10,$J22,IF(H$59<=15,Lookups!$L22,IF(H$59<=20,Lookups!$N22,Lookups!$P22))))))]]></f>
        <v>0.01</v>
      </c>
      <c r="I78" s="20">
        <f><![CDATA[IF($J$59<=3,Lookups!$C22,IF(J$59<=4,Lookups!$E22,IF(J$59<=5,Lookups!$G22,IF(J$59<=10,$I22,IF(J$59<=15,Lookups!$K22,IF(J$59<=20,Lookups!$M22,Lookups!$O22))))))]]></f>
        <v>0.4</v>
      </c>
      <c r="J78" s="36">
        <f><![CDATA[IF(J$59<=3,Lookups!$D22,IF(J$59<=4,Lookups!$F22,IF(J$59<=5,Lookups!$H22,IF(J$59<=10,$J22,IF(J$59<=15,Lookups!$L22,IF(J$59<=20,Lookups!$N22,Lookups!$P22))))))]]></f>
        <v>0.01</v>
      </c>
      <c r="K78" s="20">
        <f><![CDATA[IF($L$59<=3,Lookups!$C22,IF(L$59<=4,Lookups!$E22,IF(L$59<=5,Lookups!$G22,IF(L$59<=10,$I22,IF(L$59<=15,Lookups!$K22,IF(L$59<=20,Lookups!$M22,Lookups!$O22))))))]]></f>
        <v>0.4</v>
      </c>
      <c r="L78" s="36">
        <f><![CDATA[IF(L$59<=3,Lookups!$D22,IF(L$59<=4,Lookups!$F22,IF(L$59<=5,Lookups!$H22,IF(L$59<=10,$J22,IF(L$59<=15,Lookups!$L22,IF(L$59<=20,Lookups!$N22,Lookups!$P22))))))]]></f>
        <v>0.01</v>
      </c>
      <c r="M78" s="20">
        <f><![CDATA[IF($N$59<=3,Lookups!$C22,IF(N$59<=4,Lookups!$E22,IF(N$59<=5,Lookups!$G22,IF(N$59<=10,$I22,IF(N$59<=15,Lookups!$K22,IF(N$59<=20,Lookups!$M22,Lookups!$O22))))))]]></f>
        <v>0.4</v>
      </c>
      <c r="N78" s="36">
        <f><![CDATA[IF(N$59<=3,Lookups!$D22,IF(N$59<=4,Lookups!$F22,IF(N$59<=5,Lookups!$H22,IF(N$59<=10,$J22,IF(N$59<=15,Lookups!$L22,IF(N$59<=20,Lookups!$N22,Lookups!$P22))))))]]></f>
        <v>0.01</v>
      </c>
      <c r="O78" s="20">
        <f><![CDATA[IF($P$59<=3,Lookups!$C22,IF(P$59<=4,Lookups!$E22,IF(P$59<=5,Lookups!$G22,IF(P$59<=10,$I22,IF(P$59<=15,Lookups!$K22,IF(P$59<=20,Lookups!$M22,Lookups!$O22))))))]]></f>
        <v>0.4</v>
      </c>
      <c r="P78" s="36">
        <f><![CDATA[IF(P$59<=3,Lookups!$D22,IF(P$59<=4,Lookups!$F22,IF(P$59<=5,Lookups!$H22,IF(P$59<=10,$J22,IF(P$59<=15,Lookups!$L22,IF(P$59<=20,Lookups!$N22,Lookups!$P22))))))]]></f>
        <v>0.01</v>
      </c>
      <c r="V78" s="21">
        <f>Receiving!D97</f>
        <v>0</v>
      </c>
      <c r="W78" s="22">
        <f>LOOKUP($V78,Lookups!$B$138:$B$159,Lookups!$K$138:$K$159)</f>
        <v>0.25</v>
      </c>
      <c r="X78" s="23">
        <f>LOOKUP($V78,Lookups!$B$86:$B$107,Lookups!$L$86:$L$107)</f>
        <v>0</v>
      </c>
      <c r="Z78" s="21">
        <f>Receiving!K97</f>
        <v>0</v>
      </c>
      <c r="AA78" s="22">
        <f>LOOKUP($Z78,Lookups!$B$138:$B$159,Lookups!$K$138:$K$159)</f>
        <v>0.25</v>
      </c>
      <c r="AB78" s="23">
        <f>LOOKUP($Z78,Lookups!$B$138:$B$159,Lookups!$L$138:$L$159)</f>
        <v>0</v>
      </c>
    </row>
    <row r="79" spans="2:53" x14ac:dyDescent="0.25">
      <c r="B79" s="18">
        <v>1700000</v>
      </c>
      <c r="C79" s="20">
        <f><![CDATA[IF($D$59<=3,Lookups!$C23,IF(D$59<=4,Lookups!$E23,IF(D$59<=5,Lookups!$G23,IF(D$59<=10,$I23,IF(D$59<=15,Lookups!$K23,IF(D$59<=20,Lookups!$M23,Lookups!$O23))))))]]></f>
        <v>0.4</v>
      </c>
      <c r="D79" s="36">
        <f><![CDATA[IF(D$59<=3,Lookups!$D23,IF(D$59<=4,Lookups!$F23,IF(D$59<=5,Lookups!$H23,IF(D$59<=10,$J23,IF(D$59<=15,Lookups!$L23,IF(D$59<=20,Lookups!$N23,Lookups!$P23))))))]]></f>
        <v>0.01</v>
      </c>
      <c r="E79" s="20">
        <f><![CDATA[IF($F$59<=3,Lookups!$C23,IF(F$59<=4,Lookups!$E23,IF(F$59<=5,Lookups!$G23,IF(F$59<=10,$I23,IF(F$59<=15,Lookups!$K23,IF(F$59<=20,Lookups!$M23,Lookups!$O23))))))]]></f>
        <v>0.4</v>
      </c>
      <c r="F79" s="36">
        <f><![CDATA[IF(F$59<=3,Lookups!$D23,IF(F$59<=4,Lookups!$F23,IF(F$59<=5,Lookups!$H23,IF(F$59<=10,$J23,IF(F$59<=15,Lookups!$L23,IF(F$59<=20,Lookups!$N23,Lookups!$P23))))))]]></f>
        <v>0.01</v>
      </c>
      <c r="G79" s="20">
        <f><![CDATA[IF($H$59<=3,Lookups!$C23,IF(H$59<=4,Lookups!$E23,IF(H$59<=5,Lookups!$G23,IF(H$59<=10,$I23,IF(H$59<=15,Lookups!$K23,IF(H$59<=20,Lookups!$M23,Lookups!$O23))))))]]></f>
        <v>0.4</v>
      </c>
      <c r="H79" s="36">
        <f><![CDATA[IF(H$59<=3,Lookups!$D23,IF(H$59<=4,Lookups!$F23,IF(H$59<=5,Lookups!$H23,IF(H$59<=10,$J23,IF(H$59<=15,Lookups!$L23,IF(H$59<=20,Lookups!$N23,Lookups!$P23))))))]]></f>
        <v>0.01</v>
      </c>
      <c r="I79" s="20">
        <f><![CDATA[IF($J$59<=3,Lookups!$C23,IF(J$59<=4,Lookups!$E23,IF(J$59<=5,Lookups!$G23,IF(J$59<=10,$I23,IF(J$59<=15,Lookups!$K23,IF(J$59<=20,Lookups!$M23,Lookups!$O23))))))]]></f>
        <v>0.4</v>
      </c>
      <c r="J79" s="36">
        <f><![CDATA[IF(J$59<=3,Lookups!$D23,IF(J$59<=4,Lookups!$F23,IF(J$59<=5,Lookups!$H23,IF(J$59<=10,$J23,IF(J$59<=15,Lookups!$L23,IF(J$59<=20,Lookups!$N23,Lookups!$P23))))))]]></f>
        <v>0.01</v>
      </c>
      <c r="K79" s="20">
        <f><![CDATA[IF($L$59<=3,Lookups!$C23,IF(L$59<=4,Lookups!$E23,IF(L$59<=5,Lookups!$G23,IF(L$59<=10,$I23,IF(L$59<=15,Lookups!$K23,IF(L$59<=20,Lookups!$M23,Lookups!$O23))))))]]></f>
        <v>0.4</v>
      </c>
      <c r="L79" s="36">
        <f><![CDATA[IF(L$59<=3,Lookups!$D23,IF(L$59<=4,Lookups!$F23,IF(L$59<=5,Lookups!$H23,IF(L$59<=10,$J23,IF(L$59<=15,Lookups!$L23,IF(L$59<=20,Lookups!$N23,Lookups!$P23))))))]]></f>
        <v>0.01</v>
      </c>
      <c r="M79" s="20">
        <f><![CDATA[IF($N$59<=3,Lookups!$C23,IF(N$59<=4,Lookups!$E23,IF(N$59<=5,Lookups!$G23,IF(N$59<=10,$I23,IF(N$59<=15,Lookups!$K23,IF(N$59<=20,Lookups!$M23,Lookups!$O23))))))]]></f>
        <v>0.4</v>
      </c>
      <c r="N79" s="36">
        <f><![CDATA[IF(N$59<=3,Lookups!$D23,IF(N$59<=4,Lookups!$F23,IF(N$59<=5,Lookups!$H23,IF(N$59<=10,$J23,IF(N$59<=15,Lookups!$L23,IF(N$59<=20,Lookups!$N23,Lookups!$P23))))))]]></f>
        <v>0.01</v>
      </c>
      <c r="O79" s="20">
        <f><![CDATA[IF($P$59<=3,Lookups!$C23,IF(P$59<=4,Lookups!$E23,IF(P$59<=5,Lookups!$G23,IF(P$59<=10,$I23,IF(P$59<=15,Lookups!$K23,IF(P$59<=20,Lookups!$M23,Lookups!$O23))))))]]></f>
        <v>0.4</v>
      </c>
      <c r="P79" s="36">
        <f><![CDATA[IF(P$59<=3,Lookups!$D23,IF(P$59<=4,Lookups!$F23,IF(P$59<=5,Lookups!$H23,IF(P$59<=10,$J23,IF(P$59<=15,Lookups!$L23,IF(P$59<=20,Lookups!$N23,Lookups!$P23))))))]]></f>
        <v>0.01</v>
      </c>
      <c r="V79" s="21">
        <f>Receiving!D98</f>
        <v>0</v>
      </c>
      <c r="W79" s="22">
        <f>LOOKUP($V79,Lookups!$B$138:$B$159,Lookups!$M$138:$M$159)</f>
        <v>0.25</v>
      </c>
      <c r="X79" s="23">
        <f>LOOKUP($V79,Lookups!$B$86:$B$107,Lookups!$N$86:$N$107)</f>
        <v>0</v>
      </c>
      <c r="Z79" s="21">
        <f>Receiving!K98</f>
        <v>0</v>
      </c>
      <c r="AA79" s="22">
        <f>LOOKUP($Z79,Lookups!$B$138:$B$159,Lookups!$M$138:$M$159)</f>
        <v>0.25</v>
      </c>
      <c r="AB79" s="23">
        <f>LOOKUP($Z79,Lookups!$B$138:$B$159,Lookups!$N$138:$N$159)</f>
        <v>0</v>
      </c>
    </row>
    <row r="80" spans="2:53" x14ac:dyDescent="0.25">
      <c r="B80" s="18">
        <v>1800000</v>
      </c>
      <c r="C80" s="20">
        <f><![CDATA[IF($D$59<=3,Lookups!$C24,IF(D$59<=4,Lookups!$E24,IF(D$59<=5,Lookups!$G24,IF(D$59<=10,$I24,IF(D$59<=15,Lookups!$K24,IF(D$59<=20,Lookups!$M24,Lookups!$O24))))))]]></f>
        <v>0.4</v>
      </c>
      <c r="D80" s="36">
        <f><![CDATA[IF(D$59<=3,Lookups!$D24,IF(D$59<=4,Lookups!$F24,IF(D$59<=5,Lookups!$H24,IF(D$59<=10,$J24,IF(D$59<=15,Lookups!$L24,IF(D$59<=20,Lookups!$N24,Lookups!$P24))))))]]></f>
        <v>0.01</v>
      </c>
      <c r="E80" s="20">
        <f><![CDATA[IF($F$59<=3,Lookups!$C24,IF(F$59<=4,Lookups!$E24,IF(F$59<=5,Lookups!$G24,IF(F$59<=10,$I24,IF(F$59<=15,Lookups!$K24,IF(F$59<=20,Lookups!$M24,Lookups!$O24))))))]]></f>
        <v>0.4</v>
      </c>
      <c r="F80" s="36">
        <f><![CDATA[IF(F$59<=3,Lookups!$D24,IF(F$59<=4,Lookups!$F24,IF(F$59<=5,Lookups!$H24,IF(F$59<=10,$J24,IF(F$59<=15,Lookups!$L24,IF(F$59<=20,Lookups!$N24,Lookups!$P24))))))]]></f>
        <v>0.01</v>
      </c>
      <c r="G80" s="20">
        <f><![CDATA[IF($H$59<=3,Lookups!$C24,IF(H$59<=4,Lookups!$E24,IF(H$59<=5,Lookups!$G24,IF(H$59<=10,$I24,IF(H$59<=15,Lookups!$K24,IF(H$59<=20,Lookups!$M24,Lookups!$O24))))))]]></f>
        <v>0.4</v>
      </c>
      <c r="H80" s="36">
        <f><![CDATA[IF(H$59<=3,Lookups!$D24,IF(H$59<=4,Lookups!$F24,IF(H$59<=5,Lookups!$H24,IF(H$59<=10,$J24,IF(H$59<=15,Lookups!$L24,IF(H$59<=20,Lookups!$N24,Lookups!$P24))))))]]></f>
        <v>0.01</v>
      </c>
      <c r="I80" s="20">
        <f><![CDATA[IF($J$59<=3,Lookups!$C24,IF(J$59<=4,Lookups!$E24,IF(J$59<=5,Lookups!$G24,IF(J$59<=10,$I24,IF(J$59<=15,Lookups!$K24,IF(J$59<=20,Lookups!$M24,Lookups!$O24))))))]]></f>
        <v>0.4</v>
      </c>
      <c r="J80" s="36">
        <f><![CDATA[IF(J$59<=3,Lookups!$D24,IF(J$59<=4,Lookups!$F24,IF(J$59<=5,Lookups!$H24,IF(J$59<=10,$J24,IF(J$59<=15,Lookups!$L24,IF(J$59<=20,Lookups!$N24,Lookups!$P24))))))]]></f>
        <v>0.01</v>
      </c>
      <c r="K80" s="20">
        <f><![CDATA[IF($L$59<=3,Lookups!$C24,IF(L$59<=4,Lookups!$E24,IF(L$59<=5,Lookups!$G24,IF(L$59<=10,$I24,IF(L$59<=15,Lookups!$K24,IF(L$59<=20,Lookups!$M24,Lookups!$O24))))))]]></f>
        <v>0.4</v>
      </c>
      <c r="L80" s="36">
        <f><![CDATA[IF(L$59<=3,Lookups!$D24,IF(L$59<=4,Lookups!$F24,IF(L$59<=5,Lookups!$H24,IF(L$59<=10,$J24,IF(L$59<=15,Lookups!$L24,IF(L$59<=20,Lookups!$N24,Lookups!$P24))))))]]></f>
        <v>0.01</v>
      </c>
      <c r="M80" s="20">
        <f><![CDATA[IF($N$59<=3,Lookups!$C24,IF(N$59<=4,Lookups!$E24,IF(N$59<=5,Lookups!$G24,IF(N$59<=10,$I24,IF(N$59<=15,Lookups!$K24,IF(N$59<=20,Lookups!$M24,Lookups!$O24))))))]]></f>
        <v>0.4</v>
      </c>
      <c r="N80" s="36">
        <f><![CDATA[IF(N$59<=3,Lookups!$D24,IF(N$59<=4,Lookups!$F24,IF(N$59<=5,Lookups!$H24,IF(N$59<=10,$J24,IF(N$59<=15,Lookups!$L24,IF(N$59<=20,Lookups!$N24,Lookups!$P24))))))]]></f>
        <v>0.01</v>
      </c>
      <c r="O80" s="20">
        <f><![CDATA[IF($P$59<=3,Lookups!$C24,IF(P$59<=4,Lookups!$E24,IF(P$59<=5,Lookups!$G24,IF(P$59<=10,$I24,IF(P$59<=15,Lookups!$K24,IF(P$59<=20,Lookups!$M24,Lookups!$O24))))))]]></f>
        <v>0.4</v>
      </c>
      <c r="P80" s="36">
        <f><![CDATA[IF(P$59<=3,Lookups!$D24,IF(P$59<=4,Lookups!$F24,IF(P$59<=5,Lookups!$H24,IF(P$59<=10,$J24,IF(P$59<=15,Lookups!$L24,IF(P$59<=20,Lookups!$N24,Lookups!$P24))))))]]></f>
        <v>0.01</v>
      </c>
      <c r="V80" s="21">
        <f>Receiving!D99</f>
        <v>0</v>
      </c>
      <c r="W80" s="22">
        <f>LOOKUP($V80,Lookups!$B$138:$B$159,Lookups!$O$138:$O$159)</f>
        <v>0.25</v>
      </c>
      <c r="X80" s="23">
        <f>LOOKUP($V80,Lookups!$B$138:$B$159,Lookups!$P$138:$P$159)</f>
        <v>0</v>
      </c>
      <c r="Z80" s="21">
        <f>Receiving!K99</f>
        <v>0</v>
      </c>
      <c r="AA80" s="22">
        <f>LOOKUP($Z80,Lookups!$B$138:$B$159,Lookups!$O$138:$O$159)</f>
        <v>0.25</v>
      </c>
      <c r="AB80" s="23">
        <f>LOOKUP($Z80,Lookups!$B$138:$B$159,Lookups!$P$138:$P$159)</f>
        <v>0</v>
      </c>
    </row>
    <row r="81" spans="2:28" ht="15.45" customHeight="1" x14ac:dyDescent="0.25">
      <c r="B81" s="18">
        <v>1900000</v>
      </c>
      <c r="C81" s="20">
        <f><![CDATA[IF($D$59<=3,Lookups!$C25,IF(D$59<=4,Lookups!$E25,IF(D$59<=5,Lookups!$G25,IF(D$59<=10,$I25,IF(D$59<=15,Lookups!$K25,IF(D$59<=20,Lookups!$M25,Lookups!$O25))))))]]></f>
        <v>0.4</v>
      </c>
      <c r="D81" s="36">
        <f><![CDATA[IF(D$59<=3,Lookups!$D25,IF(D$59<=4,Lookups!$F25,IF(D$59<=5,Lookups!$H25,IF(D$59<=10,$J25,IF(D$59<=15,Lookups!$L25,IF(D$59<=20,Lookups!$N25,Lookups!$P25))))))]]></f>
        <v>0.01</v>
      </c>
      <c r="E81" s="20">
        <f><![CDATA[IF($F$59<=3,Lookups!$C25,IF(F$59<=4,Lookups!$E25,IF(F$59<=5,Lookups!$G25,IF(F$59<=10,$I25,IF(F$59<=15,Lookups!$K25,IF(F$59<=20,Lookups!$M25,Lookups!$O25))))))]]></f>
        <v>0.4</v>
      </c>
      <c r="F81" s="36">
        <f><![CDATA[IF(F$59<=3,Lookups!$D25,IF(F$59<=4,Lookups!$F25,IF(F$59<=5,Lookups!$H25,IF(F$59<=10,$J25,IF(F$59<=15,Lookups!$L25,IF(F$59<=20,Lookups!$N25,Lookups!$P25))))))]]></f>
        <v>0.01</v>
      </c>
      <c r="G81" s="20">
        <f><![CDATA[IF($H$59<=3,Lookups!$C25,IF(H$59<=4,Lookups!$E25,IF(H$59<=5,Lookups!$G25,IF(H$59<=10,$I25,IF(H$59<=15,Lookups!$K25,IF(H$59<=20,Lookups!$M25,Lookups!$O25))))))]]></f>
        <v>0.4</v>
      </c>
      <c r="H81" s="36">
        <f><![CDATA[IF(H$59<=3,Lookups!$D25,IF(H$59<=4,Lookups!$F25,IF(H$59<=5,Lookups!$H25,IF(H$59<=10,$J25,IF(H$59<=15,Lookups!$L25,IF(H$59<=20,Lookups!$N25,Lookups!$P25))))))]]></f>
        <v>0.01</v>
      </c>
      <c r="I81" s="20">
        <f><![CDATA[IF($J$59<=3,Lookups!$C25,IF(J$59<=4,Lookups!$E25,IF(J$59<=5,Lookups!$G25,IF(J$59<=10,$I25,IF(J$59<=15,Lookups!$K25,IF(J$59<=20,Lookups!$M25,Lookups!$O25))))))]]></f>
        <v>0.4</v>
      </c>
      <c r="J81" s="36">
        <f><![CDATA[IF(J$59<=3,Lookups!$D25,IF(J$59<=4,Lookups!$F25,IF(J$59<=5,Lookups!$H25,IF(J$59<=10,$J25,IF(J$59<=15,Lookups!$L25,IF(J$59<=20,Lookups!$N25,Lookups!$P25))))))]]></f>
        <v>0.01</v>
      </c>
      <c r="K81" s="20">
        <f><![CDATA[IF($L$59<=3,Lookups!$C25,IF(L$59<=4,Lookups!$E25,IF(L$59<=5,Lookups!$G25,IF(L$59<=10,$I25,IF(L$59<=15,Lookups!$K25,IF(L$59<=20,Lookups!$M25,Lookups!$O25))))))]]></f>
        <v>0.4</v>
      </c>
      <c r="L81" s="36">
        <f><![CDATA[IF(L$59<=3,Lookups!$D25,IF(L$59<=4,Lookups!$F25,IF(L$59<=5,Lookups!$H25,IF(L$59<=10,$J25,IF(L$59<=15,Lookups!$L25,IF(L$59<=20,Lookups!$N25,Lookups!$P25))))))]]></f>
        <v>0.01</v>
      </c>
      <c r="M81" s="20">
        <f><![CDATA[IF($N$59<=3,Lookups!$C25,IF(N$59<=4,Lookups!$E25,IF(N$59<=5,Lookups!$G25,IF(N$59<=10,$I25,IF(N$59<=15,Lookups!$K25,IF(N$59<=20,Lookups!$M25,Lookups!$O25))))))]]></f>
        <v>0.4</v>
      </c>
      <c r="N81" s="36">
        <f><![CDATA[IF(N$59<=3,Lookups!$D25,IF(N$59<=4,Lookups!$F25,IF(N$59<=5,Lookups!$H25,IF(N$59<=10,$J25,IF(N$59<=15,Lookups!$L25,IF(N$59<=20,Lookups!$N25,Lookups!$P25))))))]]></f>
        <v>0.01</v>
      </c>
      <c r="O81" s="20">
        <f><![CDATA[IF($P$59<=3,Lookups!$C25,IF(P$59<=4,Lookups!$E25,IF(P$59<=5,Lookups!$G25,IF(P$59<=10,$I25,IF(P$59<=15,Lookups!$K25,IF(P$59<=20,Lookups!$M25,Lookups!$O25))))))]]></f>
        <v>0.4</v>
      </c>
      <c r="P81" s="36">
        <f><![CDATA[IF(P$59<=3,Lookups!$D25,IF(P$59<=4,Lookups!$F25,IF(P$59<=5,Lookups!$H25,IF(P$59<=10,$J25,IF(P$59<=15,Lookups!$L25,IF(P$59<=20,Lookups!$N25,Lookups!$P25))))))]]></f>
        <v>0.01</v>
      </c>
    </row>
    <row r="82" spans="2:28" ht="16.05" customHeight="1" x14ac:dyDescent="0.3">
      <c r="V82" s="209" t="s">
        <v>50</v>
      </c>
      <c r="W82" s="210"/>
      <c r="X82" s="211"/>
      <c r="Y82" s="29"/>
      <c r="Z82" s="208" t="s">
        <v>50</v>
      </c>
      <c r="AA82" s="208"/>
      <c r="AB82" s="208"/>
    </row>
    <row r="83" spans="2:28" x14ac:dyDescent="0.25">
      <c r="U83" t="s" s="0">
        <v>28</v>
      </c>
      <c r="V83" s="24"/>
      <c r="W83" s="25" t="s">
        <v>51</v>
      </c>
      <c r="X83" s="26" t="s">
        <v>52</v>
      </c>
      <c r="Z83" s="1"/>
      <c r="AA83" s="1" t="s">
        <v>51</v>
      </c>
      <c r="AB83" s="1" t="s">
        <v>52</v>
      </c>
    </row>
    <row r="84" spans="2:28" x14ac:dyDescent="0.25">
      <c r="V84" s="21">
        <f>Receiving!D111</f>
        <v>0</v>
      </c>
      <c r="W84" s="22">
        <f>LOOKUP($V84,Lookups!$B$164:$B$185,Lookups!$C$164:$C$185)</f>
        <v>0.25</v>
      </c>
      <c r="X84" s="23">
        <f>LOOKUP($V84,Lookups!$B$164:$B$185,Lookups!$D$164:$D$185)</f>
        <v>0</v>
      </c>
      <c r="Z84" s="21">
        <f>Receiving!K111</f>
        <v>0</v>
      </c>
      <c r="AA84" s="22">
        <f>LOOKUP($Z84,Lookups!$B$164:$B$185,Lookups!$C$164:$C$185)</f>
        <v>0.25</v>
      </c>
      <c r="AB84" s="23">
        <f>LOOKUP($Z84,Lookups!$B$164:$B$185,Lookups!$D$164:$D$185)</f>
        <v>0</v>
      </c>
    </row>
    <row r="85" spans="2:28" x14ac:dyDescent="0.25">
      <c r="C85" t="s" s="0">
        <v>7</v>
      </c>
      <c r="D85" s="0">
        <f>+Inputs!C34</f>
        <v>0</v>
      </c>
      <c r="F85" s="0">
        <f>+Inputs!C34+1</f>
        <v>1</v>
      </c>
      <c r="H85" s="0">
        <f>+Inputs!C34+2</f>
        <v>2</v>
      </c>
      <c r="J85" s="0">
        <f>+Inputs!C34+3</f>
        <v>3</v>
      </c>
      <c r="L85" s="0">
        <f>+Inputs!C34+4</f>
        <v>4</v>
      </c>
      <c r="N85" s="133">
        <f>+Inputs!C34+5</f>
        <v>5</v>
      </c>
      <c r="P85" s="133">
        <f>+Inputs!C34+6</f>
        <v>6</v>
      </c>
      <c r="V85" s="21">
        <f>Receiving!D112</f>
        <v>0</v>
      </c>
      <c r="W85" s="22">
        <f>LOOKUP($V85,Lookups!$B$164:$B$185,Lookups!$E$164:$E$185)</f>
        <v>0.25</v>
      </c>
      <c r="X85" s="23">
        <f>LOOKUP($V85,Lookups!$B$164:$B$185,Lookups!$F$164:$F$185)</f>
        <v>0</v>
      </c>
      <c r="Z85" s="21">
        <f>Receiving!K112</f>
        <v>0</v>
      </c>
      <c r="AA85" s="22">
        <f>LOOKUP($Z85,Lookups!$B$164:$B$185,Lookups!$E$164:$E$185)</f>
        <v>0.25</v>
      </c>
      <c r="AB85" s="23">
        <f>LOOKUP($Z85,Lookups!$B$164:$B$185,Lookups!$F$164:$F$185)</f>
        <v>0</v>
      </c>
    </row>
    <row r="86" spans="2:28" x14ac:dyDescent="0.25">
      <c r="B86" s="9" t="s">
        <v>33</v>
      </c>
      <c r="C86" s="12" t="s">
        <v>37</v>
      </c>
      <c r="D86" s="11"/>
      <c r="E86" s="12" t="s">
        <v>37</v>
      </c>
      <c r="F86" s="11"/>
      <c r="G86" s="12" t="s">
        <v>37</v>
      </c>
      <c r="H86" s="11"/>
      <c r="I86" s="12" t="s">
        <v>37</v>
      </c>
      <c r="J86" s="11"/>
      <c r="K86" s="12" t="s">
        <v>37</v>
      </c>
      <c r="L86" s="11"/>
      <c r="M86" s="12" t="s">
        <v>37</v>
      </c>
      <c r="N86" s="11"/>
      <c r="O86" s="12" t="s">
        <v>37</v>
      </c>
      <c r="P86" s="11"/>
      <c r="V86" s="21">
        <f>Receiving!D113</f>
        <v>0</v>
      </c>
      <c r="W86" s="22">
        <f>LOOKUP($V86,Lookups!$B$164:$B$185,Lookups!$G$164:$G$185)</f>
        <v>0.25</v>
      </c>
      <c r="X86" s="23">
        <f>LOOKUP($V86,Lookups!$B$164:$B$185,Lookups!$H$164:$H$185)</f>
        <v>0</v>
      </c>
      <c r="Z86" s="21">
        <f>Receiving!K113</f>
        <v>0</v>
      </c>
      <c r="AA86" s="22">
        <f>LOOKUP($Z86,Lookups!$B$164:$B$185,Lookups!$G$164:$G$185)</f>
        <v>0.25</v>
      </c>
      <c r="AB86" s="23">
        <f>LOOKUP($Z86,Lookups!$B$164:$B$185,Lookups!$H$164:$H$185)</f>
        <v>0</v>
      </c>
    </row>
    <row r="87" spans="2:28" x14ac:dyDescent="0.25">
      <c r="B87" s="13" t="s">
        <v>34</v>
      </c>
      <c r="C87" s="206" t="s">
        <v>0</v>
      </c>
      <c r="D87" s="207"/>
      <c r="E87" s="206" t="s">
        <v>1</v>
      </c>
      <c r="F87" s="207"/>
      <c r="G87" s="206" t="s">
        <v>2</v>
      </c>
      <c r="H87" s="207"/>
      <c r="I87" s="206" t="s">
        <v>3</v>
      </c>
      <c r="J87" s="207"/>
      <c r="K87" s="206" t="s">
        <v>4</v>
      </c>
      <c r="L87" s="207"/>
      <c r="M87" s="206" t="s">
        <v>16</v>
      </c>
      <c r="N87" s="207"/>
      <c r="O87" s="206" t="s">
        <v>17</v>
      </c>
      <c r="P87" s="207"/>
      <c r="V87" s="21">
        <f>Receiving!D114</f>
        <v>0</v>
      </c>
      <c r="W87" s="22">
        <f>LOOKUP($V87,Lookups!$B$164:$B$185,Lookups!$I$164:$I$185)</f>
        <v>0.25</v>
      </c>
      <c r="X87" s="23">
        <f>LOOKUP($V87,Lookups!$B$164:$B$185,Lookups!$J$164:$J$185)</f>
        <v>0</v>
      </c>
      <c r="Z87" s="21">
        <f>Receiving!K114</f>
        <v>0</v>
      </c>
      <c r="AA87" s="22">
        <f>LOOKUP($Z87,Lookups!$B$164:$B$185,Lookups!$I$164:$I$185)</f>
        <v>0.25</v>
      </c>
      <c r="AB87" s="23">
        <f>LOOKUP($Z87,Lookups!$B$164:$B$185,Lookups!$J$164:$J$185)</f>
        <v>0</v>
      </c>
    </row>
    <row r="88" spans="2:28" x14ac:dyDescent="0.25">
      <c r="B88" s="18">
        <v>0</v>
      </c>
      <c r="C88" s="20">
        <f><![CDATA[IF($D$85<=3,Lookups!$C6,IF(D$85<=4,Lookups!$E6,IF(D$85<=5,Lookups!$G6,IF(D$85<=10,$I6,IF(D$85<=15,Lookups!$K6,IF(D$85<=20,Lookups!$M6,Lookups!$O6))))))]]></f>
        <v>0.25</v>
      </c>
      <c r="D88" s="36">
        <f><![CDATA[IF(D$85<=3,Lookups!$D6,IF(D$85<=4,Lookups!$F6,IF(D$85<=5,Lookups!$H6,IF(D$85<=10,$J6,IF(D$85<=15,Lookups!$L6,IF(D$85<=20,Lookups!$N6,Lookups!$P6))))))]]></f>
        <v>0</v>
      </c>
      <c r="E88" s="20">
        <f><![CDATA[IF($F$85<=3,Lookups!$C6,IF(F$85<=4,Lookups!$E6,IF(F$85<=5,Lookups!$G6,IF(F$85<=10,$I6,IF(F$85<=15,Lookups!$K6,IF(F$85<=20,Lookups!$M6,Lookups!$O6))))))]]></f>
        <v>0.25</v>
      </c>
      <c r="F88" s="36">
        <f><![CDATA[IF(F$85<=3,Lookups!$D6,IF(F$85<=4,Lookups!$F6,IF(F$85<=5,Lookups!$H6,IF(F$85<=10,$J6,IF(F$85<=15,Lookups!$L6,IF(F$85<=20,Lookups!$N6,Lookups!$P6))))))]]></f>
        <v>0</v>
      </c>
      <c r="G88" s="20">
        <f><![CDATA[IF($H$85<=3,Lookups!$C6,IF(H$85<=4,Lookups!$E6,IF(H$85<=5,Lookups!$G6,IF(H$85<=10,$I6,IF(H$85<=15,Lookups!$K6,IF(H$85<=20,Lookups!$M6,Lookups!$O6))))))]]></f>
        <v>0.25</v>
      </c>
      <c r="H88" s="36">
        <f><![CDATA[IF(H$85<=3,Lookups!$D6,IF(H$85<=4,Lookups!$F6,IF(H$85<=5,Lookups!$H6,IF(H$85<=10,$J6,IF(H$85<=15,Lookups!$L6,IF(H$85<=20,Lookups!$N6,Lookups!$P6))))))]]></f>
        <v>0</v>
      </c>
      <c r="I88" s="20">
        <f><![CDATA[IF($J$85<=3,Lookups!$C6,IF(J$85<=4,Lookups!$E6,IF(J$85<=5,Lookups!$G6,IF(J$85<=10,$I6,IF(J$85<=15,Lookups!$K6,IF(J$85<=20,Lookups!$M6,Lookups!$O6))))))]]></f>
        <v>0.25</v>
      </c>
      <c r="J88" s="36">
        <f><![CDATA[IF(J$85<=3,Lookups!$D6,IF(J$85<=4,Lookups!$F6,IF(J$85<=5,Lookups!$H6,IF(J$85<=10,$J6,IF(J$85<=15,Lookups!$L6,IF(J$85<=20,Lookups!$N6,Lookups!$P6))))))]]></f>
        <v>0</v>
      </c>
      <c r="K88" s="20">
        <f><![CDATA[IF($L$85<=3,Lookups!$C6,IF(L$85<=4,Lookups!$E6,IF(L$85<=5,Lookups!$G6,IF(L$85<=10,$I6,IF(L$85<=15,Lookups!$K6,IF(L$85<=20,Lookups!$M6,Lookups!$O6))))))]]></f>
        <v>0.25</v>
      </c>
      <c r="L88" s="36">
        <f><![CDATA[IF(L$85<=3,Lookups!$D6,IF(L$85<=4,Lookups!$F6,IF(L$85<=5,Lookups!$H6,IF(L$85<=10,$J6,IF(L$85<=15,Lookups!$L6,IF(L$85<=20,Lookups!$N6,Lookups!$P6))))))]]></f>
        <v>0</v>
      </c>
      <c r="M88" s="20">
        <f><![CDATA[IF($N$85<=3,Lookups!$C6,IF(N$85<=4,Lookups!$E6,IF(N$85<=5,Lookups!$G6,IF(N$85<=10,$I6,IF(N$85<=15,Lookups!$K6,IF(N$85<=20,Lookups!$M6,Lookups!$O6))))))]]></f>
        <v>0.25</v>
      </c>
      <c r="N88" s="36">
        <f><![CDATA[IF(N$85<=3,Lookups!$D6,IF(N$85<=4,Lookups!$F6,IF(N$85<=5,Lookups!$H6,IF(N$85<=10,$J6,IF(N$85<=15,Lookups!$L6,IF(N$85<=20,Lookups!$N6,Lookups!$P6))))))]]></f>
        <v>0</v>
      </c>
      <c r="O88" s="20">
        <f><![CDATA[IF($P$85<=3,Lookups!$C6,IF(P$85<=4,Lookups!$E6,IF(P$85<=5,Lookups!$G6,IF(P$85<=10,$I6,IF(P$85<=15,Lookups!$K6,IF(P$85<=20,Lookups!$M6,Lookups!$O6))))))]]></f>
        <v>0.25</v>
      </c>
      <c r="P88" s="36">
        <f><![CDATA[IF(P$85<=3,Lookups!$D6,IF(P$85<=4,Lookups!$F6,IF(P$85<=5,Lookups!$H6,IF(P$85<=10,$J6,IF(P$85<=15,Lookups!$L6,IF(P$85<=20,Lookups!$N6,Lookups!$P6))))))]]></f>
        <v>0</v>
      </c>
      <c r="R88" t="s" s="0">
        <v>25</v>
      </c>
      <c r="V88" s="21">
        <f>Receiving!D115</f>
        <v>0</v>
      </c>
      <c r="W88" s="22">
        <f>LOOKUP($V88,Lookups!$B$164:$B$185,Lookups!$K$164:$K$185)</f>
        <v>0.25</v>
      </c>
      <c r="X88" s="23">
        <f>LOOKUP($V88,Lookups!$B$164:$B$185,Lookups!$L$164:$L$185)</f>
        <v>0</v>
      </c>
      <c r="Z88" s="21">
        <f>Receiving!K115</f>
        <v>0</v>
      </c>
      <c r="AA88" s="22">
        <f>LOOKUP($Z88,Lookups!$B$164:$B$185,Lookups!$K$164:$K$185)</f>
        <v>0.25</v>
      </c>
      <c r="AB88" s="23">
        <f>LOOKUP($Z88,Lookups!$B$164:$B$185,Lookups!$L$164:$L$185)</f>
        <v>0</v>
      </c>
    </row>
    <row r="89" spans="2:28" x14ac:dyDescent="0.25">
      <c r="B89" s="18">
        <v>100000</v>
      </c>
      <c r="C89" s="20">
        <f><![CDATA[IF($D$85<=3,Lookups!$C7,IF(D$85<=4,Lookups!$E7,IF(D$85<=5,Lookups!$G7,IF(D$85<=10,$I7,IF(D$85<=15,Lookups!$K7,IF(D$85<=20,Lookups!$M7,Lookups!$O7))))))]]></f>
        <v>0.4</v>
      </c>
      <c r="D89" s="36">
        <f><![CDATA[IF(D$85<=3,Lookups!$D7,IF(D$85<=4,Lookups!$F7,IF(D$85<=5,Lookups!$H7,IF(D$85<=10,$J7,IF(D$85<=15,Lookups!$L7,IF(D$85<=20,Lookups!$N7,Lookups!$P7))))))]]></f>
        <v>0</v>
      </c>
      <c r="E89" s="20">
        <f><![CDATA[IF($F$85<=3,Lookups!$C7,IF(F$85<=4,Lookups!$E7,IF(F$85<=5,Lookups!$G7,IF(F$85<=10,$I7,IF(F$85<=15,Lookups!$K7,IF(F$85<=20,Lookups!$M7,Lookups!$O7))))))]]></f>
        <v>0.4</v>
      </c>
      <c r="F89" s="36">
        <f><![CDATA[IF(F$85<=3,Lookups!$D7,IF(F$85<=4,Lookups!$F7,IF(F$85<=5,Lookups!$H7,IF(F$85<=10,$J7,IF(F$85<=15,Lookups!$L7,IF(F$85<=20,Lookups!$N7,Lookups!$P7))))))]]></f>
        <v>0</v>
      </c>
      <c r="G89" s="20">
        <f><![CDATA[IF($H$85<=3,Lookups!$C7,IF(H$85<=4,Lookups!$E7,IF(H$85<=5,Lookups!$G7,IF(H$85<=10,$I7,IF(H$85<=15,Lookups!$K7,IF(H$85<=20,Lookups!$M7,Lookups!$O7))))))]]></f>
        <v>0.4</v>
      </c>
      <c r="H89" s="36">
        <f><![CDATA[IF(H$85<=3,Lookups!$D7,IF(H$85<=4,Lookups!$F7,IF(H$85<=5,Lookups!$H7,IF(H$85<=10,$J7,IF(H$85<=15,Lookups!$L7,IF(H$85<=20,Lookups!$N7,Lookups!$P7))))))]]></f>
        <v>0</v>
      </c>
      <c r="I89" s="20">
        <f><![CDATA[IF($J$85<=3,Lookups!$C7,IF(J$85<=4,Lookups!$E7,IF(J$85<=5,Lookups!$G7,IF(J$85<=10,$I7,IF(J$85<=15,Lookups!$K7,IF(J$85<=20,Lookups!$M7,Lookups!$O7))))))]]></f>
        <v>0.4</v>
      </c>
      <c r="J89" s="36">
        <f><![CDATA[IF(J$85<=3,Lookups!$D7,IF(J$85<=4,Lookups!$F7,IF(J$85<=5,Lookups!$H7,IF(J$85<=10,$J7,IF(J$85<=15,Lookups!$L7,IF(J$85<=20,Lookups!$N7,Lookups!$P7))))))]]></f>
        <v>0</v>
      </c>
      <c r="K89" s="20">
        <f><![CDATA[IF($L$85<=3,Lookups!$C7,IF(L$85<=4,Lookups!$E7,IF(L$85<=5,Lookups!$G7,IF(L$85<=10,$I7,IF(L$85<=15,Lookups!$K7,IF(L$85<=20,Lookups!$M7,Lookups!$O7))))))]]></f>
        <v>0.4</v>
      </c>
      <c r="L89" s="36">
        <f><![CDATA[IF(L$85<=3,Lookups!$D7,IF(L$85<=4,Lookups!$F7,IF(L$85<=5,Lookups!$H7,IF(L$85<=10,$J7,IF(L$85<=15,Lookups!$L7,IF(L$85<=20,Lookups!$N7,Lookups!$P7))))))]]></f>
        <v>0</v>
      </c>
      <c r="M89" s="20">
        <f><![CDATA[IF($N$85<=3,Lookups!$C7,IF(N$85<=4,Lookups!$E7,IF(N$85<=5,Lookups!$G7,IF(N$85<=10,$I7,IF(N$85<=15,Lookups!$K7,IF(N$85<=20,Lookups!$M7,Lookups!$O7))))))]]></f>
        <v>0.4</v>
      </c>
      <c r="N89" s="36">
        <f><![CDATA[IF(N$85<=3,Lookups!$D7,IF(N$85<=4,Lookups!$F7,IF(N$85<=5,Lookups!$H7,IF(N$85<=10,$J7,IF(N$85<=15,Lookups!$L7,IF(N$85<=20,Lookups!$N7,Lookups!$P7))))))]]></f>
        <v>0</v>
      </c>
      <c r="O89" s="20">
        <f><![CDATA[IF($P$85<=3,Lookups!$C7,IF(P$85<=4,Lookups!$E7,IF(P$85<=5,Lookups!$G7,IF(P$85<=10,$I7,IF(P$85<=15,Lookups!$K7,IF(P$85<=20,Lookups!$M7,Lookups!$O7))))))]]></f>
        <v>0.4</v>
      </c>
      <c r="P89" s="36">
        <f><![CDATA[IF(P$85<=3,Lookups!$D7,IF(P$85<=4,Lookups!$F7,IF(P$85<=5,Lookups!$H7,IF(P$85<=10,$J7,IF(P$85<=15,Lookups!$L7,IF(P$85<=20,Lookups!$N7,Lookups!$P7))))))]]></f>
        <v>0</v>
      </c>
      <c r="V89" s="21">
        <f>Receiving!D116</f>
        <v>0</v>
      </c>
      <c r="W89" s="22">
        <f>LOOKUP($V89,Lookups!$B$164:$B$185,Lookups!$M$164:$M$185)</f>
        <v>0.25</v>
      </c>
      <c r="X89" s="23">
        <f>LOOKUP($V89,Lookups!$B$164:$B$185,Lookups!$N$164:$N$185)</f>
        <v>0</v>
      </c>
      <c r="Z89" s="21">
        <f>Receiving!K116</f>
        <v>0</v>
      </c>
      <c r="AA89" s="22">
        <f>LOOKUP($Z89,Lookups!$B$164:$B$185,Lookups!$M$164:$M$185)</f>
        <v>0.25</v>
      </c>
      <c r="AB89" s="23">
        <f>LOOKUP($Z89,Lookups!$B$164:$B$185,Lookups!$N$164:$N$185)</f>
        <v>0</v>
      </c>
    </row>
    <row r="90" spans="2:28" x14ac:dyDescent="0.25">
      <c r="B90" s="18">
        <v>200000</v>
      </c>
      <c r="C90" s="20">
        <f><![CDATA[IF($D$85<=3,Lookups!$C8,IF(D$85<=4,Lookups!$E8,IF(D$85<=5,Lookups!$G8,IF(D$85<=10,$I8,IF(D$85<=15,Lookups!$K8,IF(D$85<=20,Lookups!$M8,Lookups!$O8))))))]]></f>
        <v>0.4</v>
      </c>
      <c r="D90" s="36">
        <f><![CDATA[IF(D$85<=3,Lookups!$D8,IF(D$85<=4,Lookups!$F8,IF(D$85<=5,Lookups!$H8,IF(D$85<=10,$J8,IF(D$85<=15,Lookups!$L8,IF(D$85<=20,Lookups!$N8,Lookups!$P8))))))]]></f>
        <v>0</v>
      </c>
      <c r="E90" s="20">
        <f><![CDATA[IF($F$85<=3,Lookups!$C8,IF(F$85<=4,Lookups!$E8,IF(F$85<=5,Lookups!$G8,IF(F$85<=10,$I8,IF(F$85<=15,Lookups!$K8,IF(F$85<=20,Lookups!$M8,Lookups!$O8))))))]]></f>
        <v>0.4</v>
      </c>
      <c r="F90" s="36">
        <f><![CDATA[IF(F$85<=3,Lookups!$D8,IF(F$85<=4,Lookups!$F8,IF(F$85<=5,Lookups!$H8,IF(F$85<=10,$J8,IF(F$85<=15,Lookups!$L8,IF(F$85<=20,Lookups!$N8,Lookups!$P8))))))]]></f>
        <v>0</v>
      </c>
      <c r="G90" s="20">
        <f><![CDATA[IF($H$85<=3,Lookups!$C8,IF(H$85<=4,Lookups!$E8,IF(H$85<=5,Lookups!$G8,IF(H$85<=10,$I8,IF(H$85<=15,Lookups!$K8,IF(H$85<=20,Lookups!$M8,Lookups!$O8))))))]]></f>
        <v>0.4</v>
      </c>
      <c r="H90" s="36">
        <f><![CDATA[IF(H$85<=3,Lookups!$D8,IF(H$85<=4,Lookups!$F8,IF(H$85<=5,Lookups!$H8,IF(H$85<=10,$J8,IF(H$85<=15,Lookups!$L8,IF(H$85<=20,Lookups!$N8,Lookups!$P8))))))]]></f>
        <v>0</v>
      </c>
      <c r="I90" s="20">
        <f><![CDATA[IF($J$85<=3,Lookups!$C8,IF(J$85<=4,Lookups!$E8,IF(J$85<=5,Lookups!$G8,IF(J$85<=10,$I8,IF(J$85<=15,Lookups!$K8,IF(J$85<=20,Lookups!$M8,Lookups!$O8))))))]]></f>
        <v>0.4</v>
      </c>
      <c r="J90" s="36">
        <f><![CDATA[IF(J$85<=3,Lookups!$D8,IF(J$85<=4,Lookups!$F8,IF(J$85<=5,Lookups!$H8,IF(J$85<=10,$J8,IF(J$85<=15,Lookups!$L8,IF(J$85<=20,Lookups!$N8,Lookups!$P8))))))]]></f>
        <v>0</v>
      </c>
      <c r="K90" s="20">
        <f><![CDATA[IF($L$85<=3,Lookups!$C8,IF(L$85<=4,Lookups!$E8,IF(L$85<=5,Lookups!$G8,IF(L$85<=10,$I8,IF(L$85<=15,Lookups!$K8,IF(L$85<=20,Lookups!$M8,Lookups!$O8))))))]]></f>
        <v>0.4</v>
      </c>
      <c r="L90" s="36">
        <f><![CDATA[IF(L$85<=3,Lookups!$D8,IF(L$85<=4,Lookups!$F8,IF(L$85<=5,Lookups!$H8,IF(L$85<=10,$J8,IF(L$85<=15,Lookups!$L8,IF(L$85<=20,Lookups!$N8,Lookups!$P8))))))]]></f>
        <v>0</v>
      </c>
      <c r="M90" s="20">
        <f><![CDATA[IF($N$85<=3,Lookups!$C8,IF(N$85<=4,Lookups!$E8,IF(N$85<=5,Lookups!$G8,IF(N$85<=10,$I8,IF(N$85<=15,Lookups!$K8,IF(N$85<=20,Lookups!$M8,Lookups!$O8))))))]]></f>
        <v>0.4</v>
      </c>
      <c r="N90" s="36">
        <f><![CDATA[IF(N$85<=3,Lookups!$D8,IF(N$85<=4,Lookups!$F8,IF(N$85<=5,Lookups!$H8,IF(N$85<=10,$J8,IF(N$85<=15,Lookups!$L8,IF(N$85<=20,Lookups!$N8,Lookups!$P8))))))]]></f>
        <v>0</v>
      </c>
      <c r="O90" s="20">
        <f><![CDATA[IF($P$85<=3,Lookups!$C8,IF(P$85<=4,Lookups!$E8,IF(P$85<=5,Lookups!$G8,IF(P$85<=10,$I8,IF(P$85<=15,Lookups!$K8,IF(P$85<=20,Lookups!$M8,Lookups!$O8))))))]]></f>
        <v>0.4</v>
      </c>
      <c r="P90" s="36">
        <f><![CDATA[IF(P$85<=3,Lookups!$D8,IF(P$85<=4,Lookups!$F8,IF(P$85<=5,Lookups!$H8,IF(P$85<=10,$J8,IF(P$85<=15,Lookups!$L8,IF(P$85<=20,Lookups!$N8,Lookups!$P8))))))]]></f>
        <v>0</v>
      </c>
      <c r="V90" s="21">
        <f>Receiving!D117</f>
        <v>0</v>
      </c>
      <c r="W90" s="22">
        <f>LOOKUP($V90,Lookups!$B$164:$B$185,Lookups!$O$164:$O$185)</f>
        <v>0.25</v>
      </c>
      <c r="X90" s="23">
        <f>LOOKUP($V90,Lookups!$B$164:$B$185,Lookups!$P$164:$P$185)</f>
        <v>0</v>
      </c>
      <c r="Z90" s="21">
        <f>Receiving!K117</f>
        <v>0</v>
      </c>
      <c r="AA90" s="22">
        <f>LOOKUP($Z90,Lookups!$B$164:$B$185,Lookups!$O$164:$O$185)</f>
        <v>0.25</v>
      </c>
      <c r="AB90" s="23">
        <f>LOOKUP($Z90,Lookups!$B$164:$B$185,Lookups!$P$164:$P$185)</f>
        <v>0</v>
      </c>
    </row>
    <row r="91" spans="2:28" ht="15.45" customHeight="1" x14ac:dyDescent="0.25">
      <c r="B91" s="18">
        <v>300000</v>
      </c>
      <c r="C91" s="20">
        <f><![CDATA[IF($D$85<=3,Lookups!$C9,IF(D$85<=4,Lookups!$E9,IF(D$85<=5,Lookups!$G9,IF(D$85<=10,$I9,IF(D$85<=15,Lookups!$K9,IF(D$85<=20,Lookups!$M9,Lookups!$O9))))))]]></f>
        <v>0.4</v>
      </c>
      <c r="D91" s="36">
        <f><![CDATA[IF(D$85<=3,Lookups!$D9,IF(D$85<=4,Lookups!$F9,IF(D$85<=5,Lookups!$H9,IF(D$85<=10,$J9,IF(D$85<=15,Lookups!$L9,IF(D$85<=20,Lookups!$N9,Lookups!$P9))))))]]></f>
        <v>0</v>
      </c>
      <c r="E91" s="20">
        <f><![CDATA[IF($F$85<=3,Lookups!$C9,IF(F$85<=4,Lookups!$E9,IF(F$85<=5,Lookups!$G9,IF(F$85<=10,$I9,IF(F$85<=15,Lookups!$K9,IF(F$85<=20,Lookups!$M9,Lookups!$O9))))))]]></f>
        <v>0.4</v>
      </c>
      <c r="F91" s="36">
        <f><![CDATA[IF(F$85<=3,Lookups!$D9,IF(F$85<=4,Lookups!$F9,IF(F$85<=5,Lookups!$H9,IF(F$85<=10,$J9,IF(F$85<=15,Lookups!$L9,IF(F$85<=20,Lookups!$N9,Lookups!$P9))))))]]></f>
        <v>0</v>
      </c>
      <c r="G91" s="20">
        <f><![CDATA[IF($H$85<=3,Lookups!$C9,IF(H$85<=4,Lookups!$E9,IF(H$85<=5,Lookups!$G9,IF(H$85<=10,$I9,IF(H$85<=15,Lookups!$K9,IF(H$85<=20,Lookups!$M9,Lookups!$O9))))))]]></f>
        <v>0.4</v>
      </c>
      <c r="H91" s="36">
        <f><![CDATA[IF(H$85<=3,Lookups!$D9,IF(H$85<=4,Lookups!$F9,IF(H$85<=5,Lookups!$H9,IF(H$85<=10,$J9,IF(H$85<=15,Lookups!$L9,IF(H$85<=20,Lookups!$N9,Lookups!$P9))))))]]></f>
        <v>0</v>
      </c>
      <c r="I91" s="20">
        <f><![CDATA[IF($J$85<=3,Lookups!$C9,IF(J$85<=4,Lookups!$E9,IF(J$85<=5,Lookups!$G9,IF(J$85<=10,$I9,IF(J$85<=15,Lookups!$K9,IF(J$85<=20,Lookups!$M9,Lookups!$O9))))))]]></f>
        <v>0.4</v>
      </c>
      <c r="J91" s="36">
        <f><![CDATA[IF(J$85<=3,Lookups!$D9,IF(J$85<=4,Lookups!$F9,IF(J$85<=5,Lookups!$H9,IF(J$85<=10,$J9,IF(J$85<=15,Lookups!$L9,IF(J$85<=20,Lookups!$N9,Lookups!$P9))))))]]></f>
        <v>0</v>
      </c>
      <c r="K91" s="20">
        <f><![CDATA[IF($L$85<=3,Lookups!$C9,IF(L$85<=4,Lookups!$E9,IF(L$85<=5,Lookups!$G9,IF(L$85<=10,$I9,IF(L$85<=15,Lookups!$K9,IF(L$85<=20,Lookups!$M9,Lookups!$O9))))))]]></f>
        <v>0.4</v>
      </c>
      <c r="L91" s="36">
        <f><![CDATA[IF(L$85<=3,Lookups!$D9,IF(L$85<=4,Lookups!$F9,IF(L$85<=5,Lookups!$H9,IF(L$85<=10,$J9,IF(L$85<=15,Lookups!$L9,IF(L$85<=20,Lookups!$N9,Lookups!$P9))))))]]></f>
        <v>0</v>
      </c>
      <c r="M91" s="20">
        <f><![CDATA[IF($N$85<=3,Lookups!$C9,IF(N$85<=4,Lookups!$E9,IF(N$85<=5,Lookups!$G9,IF(N$85<=10,$I9,IF(N$85<=15,Lookups!$K9,IF(N$85<=20,Lookups!$M9,Lookups!$O9))))))]]></f>
        <v>0.4</v>
      </c>
      <c r="N91" s="36">
        <f><![CDATA[IF(N$85<=3,Lookups!$D9,IF(N$85<=4,Lookups!$F9,IF(N$85<=5,Lookups!$H9,IF(N$85<=10,$J9,IF(N$85<=15,Lookups!$L9,IF(N$85<=20,Lookups!$N9,Lookups!$P9))))))]]></f>
        <v>0</v>
      </c>
      <c r="O91" s="20">
        <f><![CDATA[IF($P$85<=3,Lookups!$C9,IF(P$85<=4,Lookups!$E9,IF(P$85<=5,Lookups!$G9,IF(P$85<=10,$I9,IF(P$85<=15,Lookups!$K9,IF(P$85<=20,Lookups!$M9,Lookups!$O9))))))]]></f>
        <v>0.4</v>
      </c>
      <c r="P91" s="36">
        <f><![CDATA[IF(P$85<=3,Lookups!$D9,IF(P$85<=4,Lookups!$F9,IF(P$85<=5,Lookups!$H9,IF(P$85<=10,$J9,IF(P$85<=15,Lookups!$L9,IF(P$85<=20,Lookups!$N9,Lookups!$P9))))))]]></f>
        <v>0</v>
      </c>
    </row>
    <row r="92" spans="2:28" ht="16.05" customHeight="1" x14ac:dyDescent="0.3">
      <c r="B92" s="18">
        <v>400000</v>
      </c>
      <c r="C92" s="20">
        <f><![CDATA[IF($D$85<=3,Lookups!$C10,IF(D$85<=4,Lookups!$E10,IF(D$85<=5,Lookups!$G10,IF(D$85<=10,$I10,IF(D$85<=15,Lookups!$K10,IF(D$85<=20,Lookups!$M10,Lookups!$O10))))))]]></f>
        <v>0.4</v>
      </c>
      <c r="D92" s="36">
        <f><![CDATA[IF(D$85<=3,Lookups!$D10,IF(D$85<=4,Lookups!$F10,IF(D$85<=5,Lookups!$H10,IF(D$85<=10,$J10,IF(D$85<=15,Lookups!$L10,IF(D$85<=20,Lookups!$N10,Lookups!$P10))))))]]></f>
        <v>0</v>
      </c>
      <c r="E92" s="20">
        <f><![CDATA[IF($F$85<=3,Lookups!$C10,IF(F$85<=4,Lookups!$E10,IF(F$85<=5,Lookups!$G10,IF(F$85<=10,$I10,IF(F$85<=15,Lookups!$K10,IF(F$85<=20,Lookups!$M10,Lookups!$O10))))))]]></f>
        <v>0.4</v>
      </c>
      <c r="F92" s="36">
        <f><![CDATA[IF(F$85<=3,Lookups!$D10,IF(F$85<=4,Lookups!$F10,IF(F$85<=5,Lookups!$H10,IF(F$85<=10,$J10,IF(F$85<=15,Lookups!$L10,IF(F$85<=20,Lookups!$N10,Lookups!$P10))))))]]></f>
        <v>0</v>
      </c>
      <c r="G92" s="20">
        <f><![CDATA[IF($H$85<=3,Lookups!$C10,IF(H$85<=4,Lookups!$E10,IF(H$85<=5,Lookups!$G10,IF(H$85<=10,$I10,IF(H$85<=15,Lookups!$K10,IF(H$85<=20,Lookups!$M10,Lookups!$O10))))))]]></f>
        <v>0.4</v>
      </c>
      <c r="H92" s="36">
        <f><![CDATA[IF(H$85<=3,Lookups!$D10,IF(H$85<=4,Lookups!$F10,IF(H$85<=5,Lookups!$H10,IF(H$85<=10,$J10,IF(H$85<=15,Lookups!$L10,IF(H$85<=20,Lookups!$N10,Lookups!$P10))))))]]></f>
        <v>0</v>
      </c>
      <c r="I92" s="20">
        <f><![CDATA[IF($J$85<=3,Lookups!$C10,IF(J$85<=4,Lookups!$E10,IF(J$85<=5,Lookups!$G10,IF(J$85<=10,$I10,IF(J$85<=15,Lookups!$K10,IF(J$85<=20,Lookups!$M10,Lookups!$O10))))))]]></f>
        <v>0.4</v>
      </c>
      <c r="J92" s="36">
        <f><![CDATA[IF(J$85<=3,Lookups!$D10,IF(J$85<=4,Lookups!$F10,IF(J$85<=5,Lookups!$H10,IF(J$85<=10,$J10,IF(J$85<=15,Lookups!$L10,IF(J$85<=20,Lookups!$N10,Lookups!$P10))))))]]></f>
        <v>0</v>
      </c>
      <c r="K92" s="20">
        <f><![CDATA[IF($L$85<=3,Lookups!$C10,IF(L$85<=4,Lookups!$E10,IF(L$85<=5,Lookups!$G10,IF(L$85<=10,$I10,IF(L$85<=15,Lookups!$K10,IF(L$85<=20,Lookups!$M10,Lookups!$O10))))))]]></f>
        <v>0.4</v>
      </c>
      <c r="L92" s="36">
        <f><![CDATA[IF(L$85<=3,Lookups!$D10,IF(L$85<=4,Lookups!$F10,IF(L$85<=5,Lookups!$H10,IF(L$85<=10,$J10,IF(L$85<=15,Lookups!$L10,IF(L$85<=20,Lookups!$N10,Lookups!$P10))))))]]></f>
        <v>0</v>
      </c>
      <c r="M92" s="20">
        <f><![CDATA[IF($N$85<=3,Lookups!$C10,IF(N$85<=4,Lookups!$E10,IF(N$85<=5,Lookups!$G10,IF(N$85<=10,$I10,IF(N$85<=15,Lookups!$K10,IF(N$85<=20,Lookups!$M10,Lookups!$O10))))))]]></f>
        <v>0.4</v>
      </c>
      <c r="N92" s="36">
        <f><![CDATA[IF(N$85<=3,Lookups!$D10,IF(N$85<=4,Lookups!$F10,IF(N$85<=5,Lookups!$H10,IF(N$85<=10,$J10,IF(N$85<=15,Lookups!$L10,IF(N$85<=20,Lookups!$N10,Lookups!$P10))))))]]></f>
        <v>0</v>
      </c>
      <c r="O92" s="20">
        <f><![CDATA[IF($P$85<=3,Lookups!$C10,IF(P$85<=4,Lookups!$E10,IF(P$85<=5,Lookups!$G10,IF(P$85<=10,$I10,IF(P$85<=15,Lookups!$K10,IF(P$85<=20,Lookups!$M10,Lookups!$O10))))))]]></f>
        <v>0.4</v>
      </c>
      <c r="P92" s="36">
        <f><![CDATA[IF(P$85<=3,Lookups!$D10,IF(P$85<=4,Lookups!$F10,IF(P$85<=5,Lookups!$H10,IF(P$85<=10,$J10,IF(P$85<=15,Lookups!$L10,IF(P$85<=20,Lookups!$N10,Lookups!$P10))))))]]></f>
        <v>0</v>
      </c>
      <c r="V92" s="209" t="s">
        <v>50</v>
      </c>
      <c r="W92" s="210"/>
      <c r="X92" s="211"/>
      <c r="Y92" s="29"/>
      <c r="Z92" s="208" t="s">
        <v>50</v>
      </c>
      <c r="AA92" s="208"/>
      <c r="AB92" s="208"/>
    </row>
    <row r="93" spans="2:28" x14ac:dyDescent="0.25">
      <c r="B93" s="18">
        <v>500000</v>
      </c>
      <c r="C93" s="20">
        <f><![CDATA[IF($D$85<=3,Lookups!$C11,IF(D$85<=4,Lookups!$E11,IF(D$85<=5,Lookups!$G11,IF(D$85<=10,$I11,IF(D$85<=15,Lookups!$K11,IF(D$85<=20,Lookups!$M11,Lookups!$O11))))))]]></f>
        <v>0.4</v>
      </c>
      <c r="D93" s="36">
        <f><![CDATA[IF(D$85<=3,Lookups!$D11,IF(D$85<=4,Lookups!$F11,IF(D$85<=5,Lookups!$H11,IF(D$85<=10,$J11,IF(D$85<=15,Lookups!$L11,IF(D$85<=20,Lookups!$N11,Lookups!$P11))))))]]></f>
        <v>0</v>
      </c>
      <c r="E93" s="20">
        <f><![CDATA[IF($F$85<=3,Lookups!$C11,IF(F$85<=4,Lookups!$E11,IF(F$85<=5,Lookups!$G11,IF(F$85<=10,$I11,IF(F$85<=15,Lookups!$K11,IF(F$85<=20,Lookups!$M11,Lookups!$O11))))))]]></f>
        <v>0.4</v>
      </c>
      <c r="F93" s="36">
        <f><![CDATA[IF(F$85<=3,Lookups!$D11,IF(F$85<=4,Lookups!$F11,IF(F$85<=5,Lookups!$H11,IF(F$85<=10,$J11,IF(F$85<=15,Lookups!$L11,IF(F$85<=20,Lookups!$N11,Lookups!$P11))))))]]></f>
        <v>0</v>
      </c>
      <c r="G93" s="20">
        <f><![CDATA[IF($H$85<=3,Lookups!$C11,IF(H$85<=4,Lookups!$E11,IF(H$85<=5,Lookups!$G11,IF(H$85<=10,$I11,IF(H$85<=15,Lookups!$K11,IF(H$85<=20,Lookups!$M11,Lookups!$O11))))))]]></f>
        <v>0.4</v>
      </c>
      <c r="H93" s="36">
        <f><![CDATA[IF(H$85<=3,Lookups!$D11,IF(H$85<=4,Lookups!$F11,IF(H$85<=5,Lookups!$H11,IF(H$85<=10,$J11,IF(H$85<=15,Lookups!$L11,IF(H$85<=20,Lookups!$N11,Lookups!$P11))))))]]></f>
        <v>0</v>
      </c>
      <c r="I93" s="20">
        <f><![CDATA[IF($J$85<=3,Lookups!$C11,IF(J$85<=4,Lookups!$E11,IF(J$85<=5,Lookups!$G11,IF(J$85<=10,$I11,IF(J$85<=15,Lookups!$K11,IF(J$85<=20,Lookups!$M11,Lookups!$O11))))))]]></f>
        <v>0.4</v>
      </c>
      <c r="J93" s="36">
        <f><![CDATA[IF(J$85<=3,Lookups!$D11,IF(J$85<=4,Lookups!$F11,IF(J$85<=5,Lookups!$H11,IF(J$85<=10,$J11,IF(J$85<=15,Lookups!$L11,IF(J$85<=20,Lookups!$N11,Lookups!$P11))))))]]></f>
        <v>0</v>
      </c>
      <c r="K93" s="20">
        <f><![CDATA[IF($L$85<=3,Lookups!$C11,IF(L$85<=4,Lookups!$E11,IF(L$85<=5,Lookups!$G11,IF(L$85<=10,$I11,IF(L$85<=15,Lookups!$K11,IF(L$85<=20,Lookups!$M11,Lookups!$O11))))))]]></f>
        <v>0.4</v>
      </c>
      <c r="L93" s="36">
        <f><![CDATA[IF(L$85<=3,Lookups!$D11,IF(L$85<=4,Lookups!$F11,IF(L$85<=5,Lookups!$H11,IF(L$85<=10,$J11,IF(L$85<=15,Lookups!$L11,IF(L$85<=20,Lookups!$N11,Lookups!$P11))))))]]></f>
        <v>0</v>
      </c>
      <c r="M93" s="20">
        <f><![CDATA[IF($N$85<=3,Lookups!$C11,IF(N$85<=4,Lookups!$E11,IF(N$85<=5,Lookups!$G11,IF(N$85<=10,$I11,IF(N$85<=15,Lookups!$K11,IF(N$85<=20,Lookups!$M11,Lookups!$O11))))))]]></f>
        <v>0.4</v>
      </c>
      <c r="N93" s="36">
        <f><![CDATA[IF(N$85<=3,Lookups!$D11,IF(N$85<=4,Lookups!$F11,IF(N$85<=5,Lookups!$H11,IF(N$85<=10,$J11,IF(N$85<=15,Lookups!$L11,IF(N$85<=20,Lookups!$N11,Lookups!$P11))))))]]></f>
        <v>0</v>
      </c>
      <c r="O93" s="20">
        <f><![CDATA[IF($P$85<=3,Lookups!$C11,IF(P$85<=4,Lookups!$E11,IF(P$85<=5,Lookups!$G11,IF(P$85<=10,$I11,IF(P$85<=15,Lookups!$K11,IF(P$85<=20,Lookups!$M11,Lookups!$O11))))))]]></f>
        <v>0.4</v>
      </c>
      <c r="P93" s="36">
        <f><![CDATA[IF(P$85<=3,Lookups!$D11,IF(P$85<=4,Lookups!$F11,IF(P$85<=5,Lookups!$H11,IF(P$85<=10,$J11,IF(P$85<=15,Lookups!$L11,IF(P$85<=20,Lookups!$N11,Lookups!$P11))))))]]></f>
        <v>0</v>
      </c>
      <c r="U93" t="s" s="0">
        <v>29</v>
      </c>
      <c r="V93" s="24"/>
      <c r="W93" s="25" t="s">
        <v>51</v>
      </c>
      <c r="X93" s="26" t="s">
        <v>52</v>
      </c>
      <c r="Z93" s="1"/>
      <c r="AA93" s="1" t="s">
        <v>51</v>
      </c>
      <c r="AB93" s="1" t="s">
        <v>52</v>
      </c>
    </row>
    <row r="94" spans="2:28" x14ac:dyDescent="0.25">
      <c r="B94" s="18">
        <v>600000</v>
      </c>
      <c r="C94" s="20">
        <f><![CDATA[IF($D$85<=3,Lookups!$C12,IF(D$85<=4,Lookups!$E12,IF(D$85<=5,Lookups!$G12,IF(D$85<=10,$I12,IF(D$85<=15,Lookups!$K12,IF(D$85<=20,Lookups!$M12,Lookups!$O12))))))]]></f>
        <v>0.4</v>
      </c>
      <c r="D94" s="36">
        <f><![CDATA[IF(D$85<=3,Lookups!$D12,IF(D$85<=4,Lookups!$F12,IF(D$85<=5,Lookups!$H12,IF(D$85<=10,$J12,IF(D$85<=15,Lookups!$L12,IF(D$85<=20,Lookups!$N12,Lookups!$P12))))))]]></f>
        <v>0</v>
      </c>
      <c r="E94" s="20">
        <f><![CDATA[IF($F$85<=3,Lookups!$C12,IF(F$85<=4,Lookups!$E12,IF(F$85<=5,Lookups!$G12,IF(F$85<=10,$I12,IF(F$85<=15,Lookups!$K12,IF(F$85<=20,Lookups!$M12,Lookups!$O12))))))]]></f>
        <v>0.4</v>
      </c>
      <c r="F94" s="36">
        <f><![CDATA[IF(F$85<=3,Lookups!$D12,IF(F$85<=4,Lookups!$F12,IF(F$85<=5,Lookups!$H12,IF(F$85<=10,$J12,IF(F$85<=15,Lookups!$L12,IF(F$85<=20,Lookups!$N12,Lookups!$P12))))))]]></f>
        <v>0</v>
      </c>
      <c r="G94" s="20">
        <f><![CDATA[IF($H$85<=3,Lookups!$C12,IF(H$85<=4,Lookups!$E12,IF(H$85<=5,Lookups!$G12,IF(H$85<=10,$I12,IF(H$85<=15,Lookups!$K12,IF(H$85<=20,Lookups!$M12,Lookups!$O12))))))]]></f>
        <v>0.4</v>
      </c>
      <c r="H94" s="36">
        <f><![CDATA[IF(H$85<=3,Lookups!$D12,IF(H$85<=4,Lookups!$F12,IF(H$85<=5,Lookups!$H12,IF(H$85<=10,$J12,IF(H$85<=15,Lookups!$L12,IF(H$85<=20,Lookups!$N12,Lookups!$P12))))))]]></f>
        <v>0</v>
      </c>
      <c r="I94" s="20">
        <f><![CDATA[IF($J$85<=3,Lookups!$C12,IF(J$85<=4,Lookups!$E12,IF(J$85<=5,Lookups!$G12,IF(J$85<=10,$I12,IF(J$85<=15,Lookups!$K12,IF(J$85<=20,Lookups!$M12,Lookups!$O12))))))]]></f>
        <v>0.4</v>
      </c>
      <c r="J94" s="36">
        <f><![CDATA[IF(J$85<=3,Lookups!$D12,IF(J$85<=4,Lookups!$F12,IF(J$85<=5,Lookups!$H12,IF(J$85<=10,$J12,IF(J$85<=15,Lookups!$L12,IF(J$85<=20,Lookups!$N12,Lookups!$P12))))))]]></f>
        <v>0</v>
      </c>
      <c r="K94" s="20">
        <f><![CDATA[IF($L$85<=3,Lookups!$C12,IF(L$85<=4,Lookups!$E12,IF(L$85<=5,Lookups!$G12,IF(L$85<=10,$I12,IF(L$85<=15,Lookups!$K12,IF(L$85<=20,Lookups!$M12,Lookups!$O12))))))]]></f>
        <v>0.4</v>
      </c>
      <c r="L94" s="36">
        <f><![CDATA[IF(L$85<=3,Lookups!$D12,IF(L$85<=4,Lookups!$F12,IF(L$85<=5,Lookups!$H12,IF(L$85<=10,$J12,IF(L$85<=15,Lookups!$L12,IF(L$85<=20,Lookups!$N12,Lookups!$P12))))))]]></f>
        <v>0</v>
      </c>
      <c r="M94" s="20">
        <f><![CDATA[IF($N$85<=3,Lookups!$C12,IF(N$85<=4,Lookups!$E12,IF(N$85<=5,Lookups!$G12,IF(N$85<=10,$I12,IF(N$85<=15,Lookups!$K12,IF(N$85<=20,Lookups!$M12,Lookups!$O12))))))]]></f>
        <v>0.4</v>
      </c>
      <c r="N94" s="36">
        <f><![CDATA[IF(N$85<=3,Lookups!$D12,IF(N$85<=4,Lookups!$F12,IF(N$85<=5,Lookups!$H12,IF(N$85<=10,$J12,IF(N$85<=15,Lookups!$L12,IF(N$85<=20,Lookups!$N12,Lookups!$P12))))))]]></f>
        <v>0</v>
      </c>
      <c r="O94" s="20">
        <f><![CDATA[IF($P$85<=3,Lookups!$C12,IF(P$85<=4,Lookups!$E12,IF(P$85<=5,Lookups!$G12,IF(P$85<=10,$I12,IF(P$85<=15,Lookups!$K12,IF(P$85<=20,Lookups!$M12,Lookups!$O12))))))]]></f>
        <v>0.4</v>
      </c>
      <c r="P94" s="36">
        <f><![CDATA[IF(P$85<=3,Lookups!$D12,IF(P$85<=4,Lookups!$F12,IF(P$85<=5,Lookups!$H12,IF(P$85<=10,$J12,IF(P$85<=15,Lookups!$L12,IF(P$85<=20,Lookups!$N12,Lookups!$P12))))))]]></f>
        <v>0</v>
      </c>
      <c r="V94" s="21">
        <f>Receiving!D129</f>
        <v>0</v>
      </c>
      <c r="W94" s="22">
        <f>LOOKUP($V94,Lookups!$B$190:$B$211,Lookups!$C$190:$C$211)</f>
        <v>0.25</v>
      </c>
      <c r="X94" s="23">
        <f>LOOKUP($V94,Lookups!$B$190:$B$211,Lookups!$D$190:$D$211)</f>
        <v>0</v>
      </c>
      <c r="Z94" s="21">
        <f>Receiving!K129</f>
        <v>0</v>
      </c>
      <c r="AA94" s="22">
        <f>LOOKUP($Z94,Lookups!$B$190:$B$211,Lookups!$C$190:$C$211)</f>
        <v>0.25</v>
      </c>
      <c r="AB94" s="23">
        <f>LOOKUP($Z94,Lookups!$B$190:$B$211,Lookups!$D$190:$D$211)</f>
        <v>0</v>
      </c>
    </row>
    <row r="95" spans="2:28" x14ac:dyDescent="0.25">
      <c r="B95" s="18">
        <v>700000</v>
      </c>
      <c r="C95" s="20">
        <f><![CDATA[IF($D$85<=3,Lookups!$C13,IF(D$85<=4,Lookups!$E13,IF(D$85<=5,Lookups!$G13,IF(D$85<=10,$I13,IF(D$85<=15,Lookups!$K13,IF(D$85<=20,Lookups!$M13,Lookups!$O13))))))]]></f>
        <v>0.4</v>
      </c>
      <c r="D95" s="36">
        <f><![CDATA[IF(D$85<=3,Lookups!$D13,IF(D$85<=4,Lookups!$F13,IF(D$85<=5,Lookups!$H13,IF(D$85<=10,$J13,IF(D$85<=15,Lookups!$L13,IF(D$85<=20,Lookups!$N13,Lookups!$P13))))))]]></f>
        <v>0</v>
      </c>
      <c r="E95" s="20">
        <f><![CDATA[IF($F$85<=3,Lookups!$C13,IF(F$85<=4,Lookups!$E13,IF(F$85<=5,Lookups!$G13,IF(F$85<=10,$I13,IF(F$85<=15,Lookups!$K13,IF(F$85<=20,Lookups!$M13,Lookups!$O13))))))]]></f>
        <v>0.4</v>
      </c>
      <c r="F95" s="36">
        <f><![CDATA[IF(F$85<=3,Lookups!$D13,IF(F$85<=4,Lookups!$F13,IF(F$85<=5,Lookups!$H13,IF(F$85<=10,$J13,IF(F$85<=15,Lookups!$L13,IF(F$85<=20,Lookups!$N13,Lookups!$P13))))))]]></f>
        <v>0</v>
      </c>
      <c r="G95" s="20">
        <f><![CDATA[IF($H$85<=3,Lookups!$C13,IF(H$85<=4,Lookups!$E13,IF(H$85<=5,Lookups!$G13,IF(H$85<=10,$I13,IF(H$85<=15,Lookups!$K13,IF(H$85<=20,Lookups!$M13,Lookups!$O13))))))]]></f>
        <v>0.4</v>
      </c>
      <c r="H95" s="36">
        <f><![CDATA[IF(H$85<=3,Lookups!$D13,IF(H$85<=4,Lookups!$F13,IF(H$85<=5,Lookups!$H13,IF(H$85<=10,$J13,IF(H$85<=15,Lookups!$L13,IF(H$85<=20,Lookups!$N13,Lookups!$P13))))))]]></f>
        <v>0</v>
      </c>
      <c r="I95" s="20">
        <f><![CDATA[IF($J$85<=3,Lookups!$C13,IF(J$85<=4,Lookups!$E13,IF(J$85<=5,Lookups!$G13,IF(J$85<=10,$I13,IF(J$85<=15,Lookups!$K13,IF(J$85<=20,Lookups!$M13,Lookups!$O13))))))]]></f>
        <v>0.4</v>
      </c>
      <c r="J95" s="36">
        <f><![CDATA[IF(J$85<=3,Lookups!$D13,IF(J$85<=4,Lookups!$F13,IF(J$85<=5,Lookups!$H13,IF(J$85<=10,$J13,IF(J$85<=15,Lookups!$L13,IF(J$85<=20,Lookups!$N13,Lookups!$P13))))))]]></f>
        <v>0</v>
      </c>
      <c r="K95" s="20">
        <f><![CDATA[IF($L$85<=3,Lookups!$C13,IF(L$85<=4,Lookups!$E13,IF(L$85<=5,Lookups!$G13,IF(L$85<=10,$I13,IF(L$85<=15,Lookups!$K13,IF(L$85<=20,Lookups!$M13,Lookups!$O13))))))]]></f>
        <v>0.4</v>
      </c>
      <c r="L95" s="36">
        <f><![CDATA[IF(L$85<=3,Lookups!$D13,IF(L$85<=4,Lookups!$F13,IF(L$85<=5,Lookups!$H13,IF(L$85<=10,$J13,IF(L$85<=15,Lookups!$L13,IF(L$85<=20,Lookups!$N13,Lookups!$P13))))))]]></f>
        <v>0</v>
      </c>
      <c r="M95" s="20">
        <f><![CDATA[IF($N$85<=3,Lookups!$C13,IF(N$85<=4,Lookups!$E13,IF(N$85<=5,Lookups!$G13,IF(N$85<=10,$I13,IF(N$85<=15,Lookups!$K13,IF(N$85<=20,Lookups!$M13,Lookups!$O13))))))]]></f>
        <v>0.4</v>
      </c>
      <c r="N95" s="36">
        <f><![CDATA[IF(N$85<=3,Lookups!$D13,IF(N$85<=4,Lookups!$F13,IF(N$85<=5,Lookups!$H13,IF(N$85<=10,$J13,IF(N$85<=15,Lookups!$L13,IF(N$85<=20,Lookups!$N13,Lookups!$P13))))))]]></f>
        <v>0</v>
      </c>
      <c r="O95" s="20">
        <f><![CDATA[IF($P$85<=3,Lookups!$C13,IF(P$85<=4,Lookups!$E13,IF(P$85<=5,Lookups!$G13,IF(P$85<=10,$I13,IF(P$85<=15,Lookups!$K13,IF(P$85<=20,Lookups!$M13,Lookups!$O13))))))]]></f>
        <v>0.4</v>
      </c>
      <c r="P95" s="36">
        <f><![CDATA[IF(P$85<=3,Lookups!$D13,IF(P$85<=4,Lookups!$F13,IF(P$85<=5,Lookups!$H13,IF(P$85<=10,$J13,IF(P$85<=15,Lookups!$L13,IF(P$85<=20,Lookups!$N13,Lookups!$P13))))))]]></f>
        <v>0</v>
      </c>
      <c r="V95" s="21">
        <f>Receiving!D130</f>
        <v>0</v>
      </c>
      <c r="W95" s="22">
        <f>LOOKUP($V95,Lookups!$B$190:$B$211,Lookups!$E$190:$E$211)</f>
        <v>0.25</v>
      </c>
      <c r="X95" s="23">
        <f>LOOKUP($V95,Lookups!$B$190:$B$211,Lookups!$F$190:$F$211)</f>
        <v>0</v>
      </c>
      <c r="Z95" s="21">
        <f>Receiving!K130</f>
        <v>0</v>
      </c>
      <c r="AA95" s="22">
        <f>LOOKUP($Z95,Lookups!$B$190:$B$211,Lookups!$E$190:$E$211)</f>
        <v>0.25</v>
      </c>
      <c r="AB95" s="23">
        <f>LOOKUP($Z95,Lookups!$B$190:$B$211,Lookups!$F$190:$F$211)</f>
        <v>0</v>
      </c>
    </row>
    <row r="96" spans="2:28" x14ac:dyDescent="0.25">
      <c r="B96" s="18">
        <v>800000</v>
      </c>
      <c r="C96" s="20">
        <f><![CDATA[IF($D$85<=3,Lookups!$C14,IF(D$85<=4,Lookups!$E14,IF(D$85<=5,Lookups!$G14,IF(D$85<=10,$I14,IF(D$85<=15,Lookups!$K14,IF(D$85<=20,Lookups!$M14,Lookups!$O14))))))]]></f>
        <v>0.4</v>
      </c>
      <c r="D96" s="36">
        <f><![CDATA[IF(D$85<=3,Lookups!$D14,IF(D$85<=4,Lookups!$F14,IF(D$85<=5,Lookups!$H14,IF(D$85<=10,$J14,IF(D$85<=15,Lookups!$L14,IF(D$85<=20,Lookups!$N14,Lookups!$P14))))))]]></f>
        <v>0</v>
      </c>
      <c r="E96" s="20">
        <f><![CDATA[IF($F$85<=3,Lookups!$C14,IF(F$85<=4,Lookups!$E14,IF(F$85<=5,Lookups!$G14,IF(F$85<=10,$I14,IF(F$85<=15,Lookups!$K14,IF(F$85<=20,Lookups!$M14,Lookups!$O14))))))]]></f>
        <v>0.4</v>
      </c>
      <c r="F96" s="36">
        <f><![CDATA[IF(F$85<=3,Lookups!$D14,IF(F$85<=4,Lookups!$F14,IF(F$85<=5,Lookups!$H14,IF(F$85<=10,$J14,IF(F$85<=15,Lookups!$L14,IF(F$85<=20,Lookups!$N14,Lookups!$P14))))))]]></f>
        <v>0</v>
      </c>
      <c r="G96" s="20">
        <f><![CDATA[IF($H$85<=3,Lookups!$C14,IF(H$85<=4,Lookups!$E14,IF(H$85<=5,Lookups!$G14,IF(H$85<=10,$I14,IF(H$85<=15,Lookups!$K14,IF(H$85<=20,Lookups!$M14,Lookups!$O14))))))]]></f>
        <v>0.4</v>
      </c>
      <c r="H96" s="36">
        <f><![CDATA[IF(H$85<=3,Lookups!$D14,IF(H$85<=4,Lookups!$F14,IF(H$85<=5,Lookups!$H14,IF(H$85<=10,$J14,IF(H$85<=15,Lookups!$L14,IF(H$85<=20,Lookups!$N14,Lookups!$P14))))))]]></f>
        <v>0</v>
      </c>
      <c r="I96" s="20">
        <f><![CDATA[IF($J$85<=3,Lookups!$C14,IF(J$85<=4,Lookups!$E14,IF(J$85<=5,Lookups!$G14,IF(J$85<=10,$I14,IF(J$85<=15,Lookups!$K14,IF(J$85<=20,Lookups!$M14,Lookups!$O14))))))]]></f>
        <v>0.4</v>
      </c>
      <c r="J96" s="36">
        <f><![CDATA[IF(J$85<=3,Lookups!$D14,IF(J$85<=4,Lookups!$F14,IF(J$85<=5,Lookups!$H14,IF(J$85<=10,$J14,IF(J$85<=15,Lookups!$L14,IF(J$85<=20,Lookups!$N14,Lookups!$P14))))))]]></f>
        <v>0</v>
      </c>
      <c r="K96" s="20">
        <f><![CDATA[IF($L$85<=3,Lookups!$C14,IF(L$85<=4,Lookups!$E14,IF(L$85<=5,Lookups!$G14,IF(L$85<=10,$I14,IF(L$85<=15,Lookups!$K14,IF(L$85<=20,Lookups!$M14,Lookups!$O14))))))]]></f>
        <v>0.4</v>
      </c>
      <c r="L96" s="36">
        <f><![CDATA[IF(L$85<=3,Lookups!$D14,IF(L$85<=4,Lookups!$F14,IF(L$85<=5,Lookups!$H14,IF(L$85<=10,$J14,IF(L$85<=15,Lookups!$L14,IF(L$85<=20,Lookups!$N14,Lookups!$P14))))))]]></f>
        <v>0</v>
      </c>
      <c r="M96" s="20">
        <f><![CDATA[IF($N$85<=3,Lookups!$C14,IF(N$85<=4,Lookups!$E14,IF(N$85<=5,Lookups!$G14,IF(N$85<=10,$I14,IF(N$85<=15,Lookups!$K14,IF(N$85<=20,Lookups!$M14,Lookups!$O14))))))]]></f>
        <v>0.4</v>
      </c>
      <c r="N96" s="36">
        <f><![CDATA[IF(N$85<=3,Lookups!$D14,IF(N$85<=4,Lookups!$F14,IF(N$85<=5,Lookups!$H14,IF(N$85<=10,$J14,IF(N$85<=15,Lookups!$L14,IF(N$85<=20,Lookups!$N14,Lookups!$P14))))))]]></f>
        <v>0</v>
      </c>
      <c r="O96" s="20">
        <f><![CDATA[IF($P$85<=3,Lookups!$C14,IF(P$85<=4,Lookups!$E14,IF(P$85<=5,Lookups!$G14,IF(P$85<=10,$I14,IF(P$85<=15,Lookups!$K14,IF(P$85<=20,Lookups!$M14,Lookups!$O14))))))]]></f>
        <v>0.4</v>
      </c>
      <c r="P96" s="36">
        <f><![CDATA[IF(P$85<=3,Lookups!$D14,IF(P$85<=4,Lookups!$F14,IF(P$85<=5,Lookups!$H14,IF(P$85<=10,$J14,IF(P$85<=15,Lookups!$L14,IF(P$85<=20,Lookups!$N14,Lookups!$P14))))))]]></f>
        <v>0</v>
      </c>
      <c r="V96" s="21">
        <f>Receiving!D131</f>
        <v>0</v>
      </c>
      <c r="W96" s="22">
        <f>LOOKUP($V96,Lookups!$B$190:$B$211,Lookups!$G$190:$G$211)</f>
        <v>0.25</v>
      </c>
      <c r="X96" s="23">
        <f>LOOKUP($V96,Lookups!$B$190:$B$211,Lookups!$H$190:$H$211)</f>
        <v>0</v>
      </c>
      <c r="Z96" s="21">
        <f>Receiving!K131</f>
        <v>0</v>
      </c>
      <c r="AA96" s="22">
        <f>LOOKUP($Z96,Lookups!$B$190:$B$211,Lookups!$G$190:$G$211)</f>
        <v>0.25</v>
      </c>
      <c r="AB96" s="23">
        <f>LOOKUP($Z96,Lookups!$B$190:$B$211,Lookups!$H$190:$H$211)</f>
        <v>0</v>
      </c>
    </row>
    <row r="97" spans="2:28" x14ac:dyDescent="0.25">
      <c r="B97" s="18">
        <v>900000</v>
      </c>
      <c r="C97" s="20">
        <f><![CDATA[IF($D$85<=3,Lookups!$C15,IF(D$85<=4,Lookups!$E15,IF(D$85<=5,Lookups!$G15,IF(D$85<=10,$I15,IF(D$85<=15,Lookups!$K15,IF(D$85<=20,Lookups!$M15,Lookups!$O15))))))]]></f>
        <v>0.4</v>
      </c>
      <c r="D97" s="36">
        <f><![CDATA[IF(D$85<=3,Lookups!$D15,IF(D$85<=4,Lookups!$F15,IF(D$85<=5,Lookups!$H15,IF(D$85<=10,$J15,IF(D$85<=15,Lookups!$L15,IF(D$85<=20,Lookups!$N15,Lookups!$P15))))))]]></f>
        <v>0</v>
      </c>
      <c r="E97" s="20">
        <f><![CDATA[IF($F$85<=3,Lookups!$C15,IF(F$85<=4,Lookups!$E15,IF(F$85<=5,Lookups!$G15,IF(F$85<=10,$I15,IF(F$85<=15,Lookups!$K15,IF(F$85<=20,Lookups!$M15,Lookups!$O15))))))]]></f>
        <v>0.4</v>
      </c>
      <c r="F97" s="36">
        <f><![CDATA[IF(F$85<=3,Lookups!$D15,IF(F$85<=4,Lookups!$F15,IF(F$85<=5,Lookups!$H15,IF(F$85<=10,$J15,IF(F$85<=15,Lookups!$L15,IF(F$85<=20,Lookups!$N15,Lookups!$P15))))))]]></f>
        <v>0</v>
      </c>
      <c r="G97" s="20">
        <f><![CDATA[IF($H$85<=3,Lookups!$C15,IF(H$85<=4,Lookups!$E15,IF(H$85<=5,Lookups!$G15,IF(H$85<=10,$I15,IF(H$85<=15,Lookups!$K15,IF(H$85<=20,Lookups!$M15,Lookups!$O15))))))]]></f>
        <v>0.4</v>
      </c>
      <c r="H97" s="36">
        <f><![CDATA[IF(H$85<=3,Lookups!$D15,IF(H$85<=4,Lookups!$F15,IF(H$85<=5,Lookups!$H15,IF(H$85<=10,$J15,IF(H$85<=15,Lookups!$L15,IF(H$85<=20,Lookups!$N15,Lookups!$P15))))))]]></f>
        <v>0</v>
      </c>
      <c r="I97" s="20">
        <f><![CDATA[IF($J$85<=3,Lookups!$C15,IF(J$85<=4,Lookups!$E15,IF(J$85<=5,Lookups!$G15,IF(J$85<=10,$I15,IF(J$85<=15,Lookups!$K15,IF(J$85<=20,Lookups!$M15,Lookups!$O15))))))]]></f>
        <v>0.4</v>
      </c>
      <c r="J97" s="36">
        <f><![CDATA[IF(J$85<=3,Lookups!$D15,IF(J$85<=4,Lookups!$F15,IF(J$85<=5,Lookups!$H15,IF(J$85<=10,$J15,IF(J$85<=15,Lookups!$L15,IF(J$85<=20,Lookups!$N15,Lookups!$P15))))))]]></f>
        <v>0</v>
      </c>
      <c r="K97" s="20">
        <f><![CDATA[IF($L$85<=3,Lookups!$C15,IF(L$85<=4,Lookups!$E15,IF(L$85<=5,Lookups!$G15,IF(L$85<=10,$I15,IF(L$85<=15,Lookups!$K15,IF(L$85<=20,Lookups!$M15,Lookups!$O15))))))]]></f>
        <v>0.4</v>
      </c>
      <c r="L97" s="36">
        <f><![CDATA[IF(L$85<=3,Lookups!$D15,IF(L$85<=4,Lookups!$F15,IF(L$85<=5,Lookups!$H15,IF(L$85<=10,$J15,IF(L$85<=15,Lookups!$L15,IF(L$85<=20,Lookups!$N15,Lookups!$P15))))))]]></f>
        <v>0</v>
      </c>
      <c r="M97" s="20">
        <f><![CDATA[IF($N$85<=3,Lookups!$C15,IF(N$85<=4,Lookups!$E15,IF(N$85<=5,Lookups!$G15,IF(N$85<=10,$I15,IF(N$85<=15,Lookups!$K15,IF(N$85<=20,Lookups!$M15,Lookups!$O15))))))]]></f>
        <v>0.4</v>
      </c>
      <c r="N97" s="36">
        <f><![CDATA[IF(N$85<=3,Lookups!$D15,IF(N$85<=4,Lookups!$F15,IF(N$85<=5,Lookups!$H15,IF(N$85<=10,$J15,IF(N$85<=15,Lookups!$L15,IF(N$85<=20,Lookups!$N15,Lookups!$P15))))))]]></f>
        <v>0</v>
      </c>
      <c r="O97" s="20">
        <f><![CDATA[IF($P$85<=3,Lookups!$C15,IF(P$85<=4,Lookups!$E15,IF(P$85<=5,Lookups!$G15,IF(P$85<=10,$I15,IF(P$85<=15,Lookups!$K15,IF(P$85<=20,Lookups!$M15,Lookups!$O15))))))]]></f>
        <v>0.4</v>
      </c>
      <c r="P97" s="36">
        <f><![CDATA[IF(P$85<=3,Lookups!$D15,IF(P$85<=4,Lookups!$F15,IF(P$85<=5,Lookups!$H15,IF(P$85<=10,$J15,IF(P$85<=15,Lookups!$L15,IF(P$85<=20,Lookups!$N15,Lookups!$P15))))))]]></f>
        <v>0</v>
      </c>
      <c r="V97" s="21">
        <f>Receiving!D132</f>
        <v>0</v>
      </c>
      <c r="W97" s="22">
        <f>LOOKUP($V97,Lookups!$B$190:$B$211,Lookups!$I$190:$I$211)</f>
        <v>0.25</v>
      </c>
      <c r="X97" s="23">
        <f>LOOKUP($V97,Lookups!$B$190:$B$211,Lookups!$J$190:$J$211)</f>
        <v>0</v>
      </c>
      <c r="Z97" s="21">
        <f>Receiving!K132</f>
        <v>0</v>
      </c>
      <c r="AA97" s="22">
        <f>LOOKUP($Z97,Lookups!$B$190:$B$211,Lookups!$I$190:$I$211)</f>
        <v>0.25</v>
      </c>
      <c r="AB97" s="23">
        <f>LOOKUP($Z97,Lookups!$B$190:$B$211,Lookups!$J$190:$J$211)</f>
        <v>0</v>
      </c>
    </row>
    <row r="98" spans="2:28" x14ac:dyDescent="0.25">
      <c r="B98" s="18">
        <v>1000000</v>
      </c>
      <c r="C98" s="20">
        <f><![CDATA[IF($D$85<=3,Lookups!$C16,IF(D$85<=4,Lookups!$E16,IF(D$85<=5,Lookups!$G16,IF(D$85<=10,$I16,IF(D$85<=15,Lookups!$K16,IF(D$85<=20,Lookups!$M16,Lookups!$O16))))))]]></f>
        <v>0.4</v>
      </c>
      <c r="D98" s="36">
        <f><![CDATA[IF(D$85<=3,Lookups!$D16,IF(D$85<=4,Lookups!$F16,IF(D$85<=5,Lookups!$H16,IF(D$85<=10,$J16,IF(D$85<=15,Lookups!$L16,IF(D$85<=20,Lookups!$N16,Lookups!$P16))))))]]></f>
        <v>0</v>
      </c>
      <c r="E98" s="20">
        <f><![CDATA[IF($F$85<=3,Lookups!$C16,IF(F$85<=4,Lookups!$E16,IF(F$85<=5,Lookups!$G16,IF(F$85<=10,$I16,IF(F$85<=15,Lookups!$K16,IF(F$85<=20,Lookups!$M16,Lookups!$O16))))))]]></f>
        <v>0.4</v>
      </c>
      <c r="F98" s="36">
        <f><![CDATA[IF(F$85<=3,Lookups!$D16,IF(F$85<=4,Lookups!$F16,IF(F$85<=5,Lookups!$H16,IF(F$85<=10,$J16,IF(F$85<=15,Lookups!$L16,IF(F$85<=20,Lookups!$N16,Lookups!$P16))))))]]></f>
        <v>0</v>
      </c>
      <c r="G98" s="20">
        <f><![CDATA[IF($H$85<=3,Lookups!$C16,IF(H$85<=4,Lookups!$E16,IF(H$85<=5,Lookups!$G16,IF(H$85<=10,$I16,IF(H$85<=15,Lookups!$K16,IF(H$85<=20,Lookups!$M16,Lookups!$O16))))))]]></f>
        <v>0.4</v>
      </c>
      <c r="H98" s="36">
        <f><![CDATA[IF(H$85<=3,Lookups!$D16,IF(H$85<=4,Lookups!$F16,IF(H$85<=5,Lookups!$H16,IF(H$85<=10,$J16,IF(H$85<=15,Lookups!$L16,IF(H$85<=20,Lookups!$N16,Lookups!$P16))))))]]></f>
        <v>0</v>
      </c>
      <c r="I98" s="20">
        <f><![CDATA[IF($J$85<=3,Lookups!$C16,IF(J$85<=4,Lookups!$E16,IF(J$85<=5,Lookups!$G16,IF(J$85<=10,$I16,IF(J$85<=15,Lookups!$K16,IF(J$85<=20,Lookups!$M16,Lookups!$O16))))))]]></f>
        <v>0.4</v>
      </c>
      <c r="J98" s="36">
        <f><![CDATA[IF(J$85<=3,Lookups!$D16,IF(J$85<=4,Lookups!$F16,IF(J$85<=5,Lookups!$H16,IF(J$85<=10,$J16,IF(J$85<=15,Lookups!$L16,IF(J$85<=20,Lookups!$N16,Lookups!$P16))))))]]></f>
        <v>0</v>
      </c>
      <c r="K98" s="20">
        <f><![CDATA[IF($L$85<=3,Lookups!$C16,IF(L$85<=4,Lookups!$E16,IF(L$85<=5,Lookups!$G16,IF(L$85<=10,$I16,IF(L$85<=15,Lookups!$K16,IF(L$85<=20,Lookups!$M16,Lookups!$O16))))))]]></f>
        <v>0.4</v>
      </c>
      <c r="L98" s="36">
        <f><![CDATA[IF(L$85<=3,Lookups!$D16,IF(L$85<=4,Lookups!$F16,IF(L$85<=5,Lookups!$H16,IF(L$85<=10,$J16,IF(L$85<=15,Lookups!$L16,IF(L$85<=20,Lookups!$N16,Lookups!$P16))))))]]></f>
        <v>0</v>
      </c>
      <c r="M98" s="20">
        <f><![CDATA[IF($N$85<=3,Lookups!$C16,IF(N$85<=4,Lookups!$E16,IF(N$85<=5,Lookups!$G16,IF(N$85<=10,$I16,IF(N$85<=15,Lookups!$K16,IF(N$85<=20,Lookups!$M16,Lookups!$O16))))))]]></f>
        <v>0.4</v>
      </c>
      <c r="N98" s="36">
        <f><![CDATA[IF(N$85<=3,Lookups!$D16,IF(N$85<=4,Lookups!$F16,IF(N$85<=5,Lookups!$H16,IF(N$85<=10,$J16,IF(N$85<=15,Lookups!$L16,IF(N$85<=20,Lookups!$N16,Lookups!$P16))))))]]></f>
        <v>0</v>
      </c>
      <c r="O98" s="20">
        <f><![CDATA[IF($P$85<=3,Lookups!$C16,IF(P$85<=4,Lookups!$E16,IF(P$85<=5,Lookups!$G16,IF(P$85<=10,$I16,IF(P$85<=15,Lookups!$K16,IF(P$85<=20,Lookups!$M16,Lookups!$O16))))))]]></f>
        <v>0.4</v>
      </c>
      <c r="P98" s="36">
        <f><![CDATA[IF(P$85<=3,Lookups!$D16,IF(P$85<=4,Lookups!$F16,IF(P$85<=5,Lookups!$H16,IF(P$85<=10,$J16,IF(P$85<=15,Lookups!$L16,IF(P$85<=20,Lookups!$N16,Lookups!$P16))))))]]></f>
        <v>0</v>
      </c>
      <c r="V98" s="21">
        <f>Receiving!D133</f>
        <v>0</v>
      </c>
      <c r="W98" s="22">
        <f>LOOKUP($V98,Lookups!$B$190:$B$211,Lookups!$K$190:$K$211)</f>
        <v>0.25</v>
      </c>
      <c r="X98" s="23">
        <f>LOOKUP($V98,Lookups!$B$190:$B$211,Lookups!$L$190:$L$211)</f>
        <v>0</v>
      </c>
      <c r="Z98" s="21">
        <f>Receiving!K133</f>
        <v>0</v>
      </c>
      <c r="AA98" s="22">
        <f>LOOKUP($Z98,Lookups!$B$190:$B$211,Lookups!$K$190:$K$211)</f>
        <v>0.25</v>
      </c>
      <c r="AB98" s="23">
        <f>LOOKUP($Z98,Lookups!$B$190:$B$211,Lookups!$L$190:$L$211)</f>
        <v>0</v>
      </c>
    </row>
    <row r="99" spans="2:28" x14ac:dyDescent="0.25">
      <c r="B99" s="18">
        <v>1100000</v>
      </c>
      <c r="C99" s="20">
        <f><![CDATA[IF($D$85<=3,Lookups!$C17,IF(D$85<=4,Lookups!$E17,IF(D$85<=5,Lookups!$G17,IF(D$85<=10,$I17,IF(D$85<=15,Lookups!$K17,IF(D$85<=20,Lookups!$M17,Lookups!$O17))))))]]></f>
        <v>0.4</v>
      </c>
      <c r="D99" s="36">
        <f><![CDATA[IF(D$85<=3,Lookups!$D17,IF(D$85<=4,Lookups!$F17,IF(D$85<=5,Lookups!$H17,IF(D$85<=10,$J17,IF(D$85<=15,Lookups!$L17,IF(D$85<=20,Lookups!$N17,Lookups!$P17))))))]]></f>
        <v>0.01</v>
      </c>
      <c r="E99" s="20">
        <f><![CDATA[IF($F$85<=3,Lookups!$C17,IF(F$85<=4,Lookups!$E17,IF(F$85<=5,Lookups!$G17,IF(F$85<=10,$I17,IF(F$85<=15,Lookups!$K17,IF(F$85<=20,Lookups!$M17,Lookups!$O17))))))]]></f>
        <v>0.4</v>
      </c>
      <c r="F99" s="36">
        <f><![CDATA[IF(F$85<=3,Lookups!$D17,IF(F$85<=4,Lookups!$F17,IF(F$85<=5,Lookups!$H17,IF(F$85<=10,$J17,IF(F$85<=15,Lookups!$L17,IF(F$85<=20,Lookups!$N17,Lookups!$P17))))))]]></f>
        <v>0.01</v>
      </c>
      <c r="G99" s="20">
        <f><![CDATA[IF($H$85<=3,Lookups!$C17,IF(H$85<=4,Lookups!$E17,IF(H$85<=5,Lookups!$G17,IF(H$85<=10,$I17,IF(H$85<=15,Lookups!$K17,IF(H$85<=20,Lookups!$M17,Lookups!$O17))))))]]></f>
        <v>0.4</v>
      </c>
      <c r="H99" s="36">
        <f><![CDATA[IF(H$85<=3,Lookups!$D17,IF(H$85<=4,Lookups!$F17,IF(H$85<=5,Lookups!$H17,IF(H$85<=10,$J17,IF(H$85<=15,Lookups!$L17,IF(H$85<=20,Lookups!$N17,Lookups!$P17))))))]]></f>
        <v>0.01</v>
      </c>
      <c r="I99" s="20">
        <f><![CDATA[IF($J$85<=3,Lookups!$C17,IF(J$85<=4,Lookups!$E17,IF(J$85<=5,Lookups!$G17,IF(J$85<=10,$I17,IF(J$85<=15,Lookups!$K17,IF(J$85<=20,Lookups!$M17,Lookups!$O17))))))]]></f>
        <v>0.4</v>
      </c>
      <c r="J99" s="36">
        <f><![CDATA[IF(J$85<=3,Lookups!$D17,IF(J$85<=4,Lookups!$F17,IF(J$85<=5,Lookups!$H17,IF(J$85<=10,$J17,IF(J$85<=15,Lookups!$L17,IF(J$85<=20,Lookups!$N17,Lookups!$P17))))))]]></f>
        <v>0.01</v>
      </c>
      <c r="K99" s="20">
        <f><![CDATA[IF($L$85<=3,Lookups!$C17,IF(L$85<=4,Lookups!$E17,IF(L$85<=5,Lookups!$G17,IF(L$85<=10,$I17,IF(L$85<=15,Lookups!$K17,IF(L$85<=20,Lookups!$M17,Lookups!$O17))))))]]></f>
        <v>0.4</v>
      </c>
      <c r="L99" s="36">
        <f><![CDATA[IF(L$85<=3,Lookups!$D17,IF(L$85<=4,Lookups!$F17,IF(L$85<=5,Lookups!$H17,IF(L$85<=10,$J17,IF(L$85<=15,Lookups!$L17,IF(L$85<=20,Lookups!$N17,Lookups!$P17))))))]]></f>
        <v>0.01</v>
      </c>
      <c r="M99" s="20">
        <f><![CDATA[IF($N$85<=3,Lookups!$C17,IF(N$85<=4,Lookups!$E17,IF(N$85<=5,Lookups!$G17,IF(N$85<=10,$I17,IF(N$85<=15,Lookups!$K17,IF(N$85<=20,Lookups!$M17,Lookups!$O17))))))]]></f>
        <v>0.4</v>
      </c>
      <c r="N99" s="36">
        <f><![CDATA[IF(N$85<=3,Lookups!$D17,IF(N$85<=4,Lookups!$F17,IF(N$85<=5,Lookups!$H17,IF(N$85<=10,$J17,IF(N$85<=15,Lookups!$L17,IF(N$85<=20,Lookups!$N17,Lookups!$P17))))))]]></f>
        <v>0.01</v>
      </c>
      <c r="O99" s="20">
        <f><![CDATA[IF($P$85<=3,Lookups!$C17,IF(P$85<=4,Lookups!$E17,IF(P$85<=5,Lookups!$G17,IF(P$85<=10,$I17,IF(P$85<=15,Lookups!$K17,IF(P$85<=20,Lookups!$M17,Lookups!$O17))))))]]></f>
        <v>0.4</v>
      </c>
      <c r="P99" s="36">
        <f><![CDATA[IF(P$85<=3,Lookups!$D17,IF(P$85<=4,Lookups!$F17,IF(P$85<=5,Lookups!$H17,IF(P$85<=10,$J17,IF(P$85<=15,Lookups!$L17,IF(P$85<=20,Lookups!$N17,Lookups!$P17))))))]]></f>
        <v>0.01</v>
      </c>
      <c r="V99" s="21">
        <f>Receiving!D134</f>
        <v>0</v>
      </c>
      <c r="W99" s="22">
        <f>LOOKUP($V99,Lookups!$B$190:$B$211,Lookups!$M$190:$M$211)</f>
        <v>0.25</v>
      </c>
      <c r="X99" s="23">
        <f>LOOKUP($V99,Lookups!$B$190:$B$211,Lookups!$N$190:$N$211)</f>
        <v>0</v>
      </c>
      <c r="Z99" s="21">
        <f>Receiving!K134</f>
        <v>0</v>
      </c>
      <c r="AA99" s="22">
        <f>LOOKUP($Z99,Lookups!$B$190:$B$211,Lookups!$M$190:$M$211)</f>
        <v>0.25</v>
      </c>
      <c r="AB99" s="23">
        <f>LOOKUP($Z99,Lookups!$B$190:$B$211,Lookups!$N$190:$N$211)</f>
        <v>0</v>
      </c>
    </row>
    <row r="100" spans="2:28" x14ac:dyDescent="0.25">
      <c r="B100" s="18">
        <v>1200000</v>
      </c>
      <c r="C100" s="20">
        <f><![CDATA[IF($D$85<=3,Lookups!$C18,IF(D$85<=4,Lookups!$E18,IF(D$85<=5,Lookups!$G18,IF(D$85<=10,$I18,IF(D$85<=15,Lookups!$K18,IF(D$85<=20,Lookups!$M18,Lookups!$O18))))))]]></f>
        <v>0.4</v>
      </c>
      <c r="D100" s="36">
        <f><![CDATA[IF(D$85<=3,Lookups!$D18,IF(D$85<=4,Lookups!$F18,IF(D$85<=5,Lookups!$H18,IF(D$85<=10,$J18,IF(D$85<=15,Lookups!$L18,IF(D$85<=20,Lookups!$N18,Lookups!$P18))))))]]></f>
        <v>0.01</v>
      </c>
      <c r="E100" s="20">
        <f><![CDATA[IF($F$85<=3,Lookups!$C18,IF(F$85<=4,Lookups!$E18,IF(F$85<=5,Lookups!$G18,IF(F$85<=10,$I18,IF(F$85<=15,Lookups!$K18,IF(F$85<=20,Lookups!$M18,Lookups!$O18))))))]]></f>
        <v>0.4</v>
      </c>
      <c r="F100" s="36">
        <f><![CDATA[IF(F$85<=3,Lookups!$D18,IF(F$85<=4,Lookups!$F18,IF(F$85<=5,Lookups!$H18,IF(F$85<=10,$J18,IF(F$85<=15,Lookups!$L18,IF(F$85<=20,Lookups!$N18,Lookups!$P18))))))]]></f>
        <v>0.01</v>
      </c>
      <c r="G100" s="20">
        <f><![CDATA[IF($H$85<=3,Lookups!$C18,IF(H$85<=4,Lookups!$E18,IF(H$85<=5,Lookups!$G18,IF(H$85<=10,$I18,IF(H$85<=15,Lookups!$K18,IF(H$85<=20,Lookups!$M18,Lookups!$O18))))))]]></f>
        <v>0.4</v>
      </c>
      <c r="H100" s="36">
        <f><![CDATA[IF(H$85<=3,Lookups!$D18,IF(H$85<=4,Lookups!$F18,IF(H$85<=5,Lookups!$H18,IF(H$85<=10,$J18,IF(H$85<=15,Lookups!$L18,IF(H$85<=20,Lookups!$N18,Lookups!$P18))))))]]></f>
        <v>0.01</v>
      </c>
      <c r="I100" s="20">
        <f><![CDATA[IF($J$85<=3,Lookups!$C18,IF(J$85<=4,Lookups!$E18,IF(J$85<=5,Lookups!$G18,IF(J$85<=10,$I18,IF(J$85<=15,Lookups!$K18,IF(J$85<=20,Lookups!$M18,Lookups!$O18))))))]]></f>
        <v>0.4</v>
      </c>
      <c r="J100" s="36">
        <f><![CDATA[IF(J$85<=3,Lookups!$D18,IF(J$85<=4,Lookups!$F18,IF(J$85<=5,Lookups!$H18,IF(J$85<=10,$J18,IF(J$85<=15,Lookups!$L18,IF(J$85<=20,Lookups!$N18,Lookups!$P18))))))]]></f>
        <v>0.01</v>
      </c>
      <c r="K100" s="20">
        <f><![CDATA[IF($L$85<=3,Lookups!$C18,IF(L$85<=4,Lookups!$E18,IF(L$85<=5,Lookups!$G18,IF(L$85<=10,$I18,IF(L$85<=15,Lookups!$K18,IF(L$85<=20,Lookups!$M18,Lookups!$O18))))))]]></f>
        <v>0.4</v>
      </c>
      <c r="L100" s="36">
        <f><![CDATA[IF(L$85<=3,Lookups!$D18,IF(L$85<=4,Lookups!$F18,IF(L$85<=5,Lookups!$H18,IF(L$85<=10,$J18,IF(L$85<=15,Lookups!$L18,IF(L$85<=20,Lookups!$N18,Lookups!$P18))))))]]></f>
        <v>0.01</v>
      </c>
      <c r="M100" s="20">
        <f><![CDATA[IF($N$85<=3,Lookups!$C18,IF(N$85<=4,Lookups!$E18,IF(N$85<=5,Lookups!$G18,IF(N$85<=10,$I18,IF(N$85<=15,Lookups!$K18,IF(N$85<=20,Lookups!$M18,Lookups!$O18))))))]]></f>
        <v>0.4</v>
      </c>
      <c r="N100" s="36">
        <f><![CDATA[IF(N$85<=3,Lookups!$D18,IF(N$85<=4,Lookups!$F18,IF(N$85<=5,Lookups!$H18,IF(N$85<=10,$J18,IF(N$85<=15,Lookups!$L18,IF(N$85<=20,Lookups!$N18,Lookups!$P18))))))]]></f>
        <v>0.01</v>
      </c>
      <c r="O100" s="20">
        <f><![CDATA[IF($P$85<=3,Lookups!$C18,IF(P$85<=4,Lookups!$E18,IF(P$85<=5,Lookups!$G18,IF(P$85<=10,$I18,IF(P$85<=15,Lookups!$K18,IF(P$85<=20,Lookups!$M18,Lookups!$O18))))))]]></f>
        <v>0.4</v>
      </c>
      <c r="P100" s="36">
        <f><![CDATA[IF(P$85<=3,Lookups!$D18,IF(P$85<=4,Lookups!$F18,IF(P$85<=5,Lookups!$H18,IF(P$85<=10,$J18,IF(P$85<=15,Lookups!$L18,IF(P$85<=20,Lookups!$N18,Lookups!$P18))))))]]></f>
        <v>0.01</v>
      </c>
      <c r="V100" s="21">
        <f>Receiving!D135</f>
        <v>0</v>
      </c>
      <c r="W100" s="22">
        <f>LOOKUP($V100,Lookups!$B$190:$B$211,Lookups!$O$190:$O$211)</f>
        <v>0.25</v>
      </c>
      <c r="X100" s="23">
        <f>LOOKUP($V100,Lookups!$B$190:$B$211,Lookups!$P$190:$P$211)</f>
        <v>0</v>
      </c>
      <c r="Z100" s="21">
        <f>Receiving!K135</f>
        <v>0</v>
      </c>
      <c r="AA100" s="22">
        <f>LOOKUP($Z100,Lookups!$B$190:$B$211,Lookups!$O$190:$O$211)</f>
        <v>0.25</v>
      </c>
      <c r="AB100" s="23">
        <f>LOOKUP($Z100,Lookups!$B$190:$B$211,Lookups!$P$190:$P$211)</f>
        <v>0</v>
      </c>
    </row>
    <row r="101" spans="2:28" x14ac:dyDescent="0.25">
      <c r="B101" s="18">
        <v>1300000</v>
      </c>
      <c r="C101" s="20">
        <f><![CDATA[IF($D$85<=3,Lookups!$C19,IF(D$85<=4,Lookups!$E19,IF(D$85<=5,Lookups!$G19,IF(D$85<=10,$I19,IF(D$85<=15,Lookups!$K19,IF(D$85<=20,Lookups!$M19,Lookups!$O19))))))]]></f>
        <v>0.4</v>
      </c>
      <c r="D101" s="36">
        <f><![CDATA[IF(D$85<=3,Lookups!$D19,IF(D$85<=4,Lookups!$F19,IF(D$85<=5,Lookups!$H19,IF(D$85<=10,$J19,IF(D$85<=15,Lookups!$L19,IF(D$85<=20,Lookups!$N19,Lookups!$P19))))))]]></f>
        <v>0.01</v>
      </c>
      <c r="E101" s="20">
        <f><![CDATA[IF($F$85<=3,Lookups!$C19,IF(F$85<=4,Lookups!$E19,IF(F$85<=5,Lookups!$G19,IF(F$85<=10,$I19,IF(F$85<=15,Lookups!$K19,IF(F$85<=20,Lookups!$M19,Lookups!$O19))))))]]></f>
        <v>0.4</v>
      </c>
      <c r="F101" s="36">
        <f><![CDATA[IF(F$85<=3,Lookups!$D19,IF(F$85<=4,Lookups!$F19,IF(F$85<=5,Lookups!$H19,IF(F$85<=10,$J19,IF(F$85<=15,Lookups!$L19,IF(F$85<=20,Lookups!$N19,Lookups!$P19))))))]]></f>
        <v>0.01</v>
      </c>
      <c r="G101" s="20">
        <f><![CDATA[IF($H$85<=3,Lookups!$C19,IF(H$85<=4,Lookups!$E19,IF(H$85<=5,Lookups!$G19,IF(H$85<=10,$I19,IF(H$85<=15,Lookups!$K19,IF(H$85<=20,Lookups!$M19,Lookups!$O19))))))]]></f>
        <v>0.4</v>
      </c>
      <c r="H101" s="36">
        <f><![CDATA[IF(H$85<=3,Lookups!$D19,IF(H$85<=4,Lookups!$F19,IF(H$85<=5,Lookups!$H19,IF(H$85<=10,$J19,IF(H$85<=15,Lookups!$L19,IF(H$85<=20,Lookups!$N19,Lookups!$P19))))))]]></f>
        <v>0.01</v>
      </c>
      <c r="I101" s="20">
        <f><![CDATA[IF($J$85<=3,Lookups!$C19,IF(J$85<=4,Lookups!$E19,IF(J$85<=5,Lookups!$G19,IF(J$85<=10,$I19,IF(J$85<=15,Lookups!$K19,IF(J$85<=20,Lookups!$M19,Lookups!$O19))))))]]></f>
        <v>0.4</v>
      </c>
      <c r="J101" s="36">
        <f><![CDATA[IF(J$85<=3,Lookups!$D19,IF(J$85<=4,Lookups!$F19,IF(J$85<=5,Lookups!$H19,IF(J$85<=10,$J19,IF(J$85<=15,Lookups!$L19,IF(J$85<=20,Lookups!$N19,Lookups!$P19))))))]]></f>
        <v>0.01</v>
      </c>
      <c r="K101" s="20">
        <f><![CDATA[IF($L$85<=3,Lookups!$C19,IF(L$85<=4,Lookups!$E19,IF(L$85<=5,Lookups!$G19,IF(L$85<=10,$I19,IF(L$85<=15,Lookups!$K19,IF(L$85<=20,Lookups!$M19,Lookups!$O19))))))]]></f>
        <v>0.4</v>
      </c>
      <c r="L101" s="36">
        <f><![CDATA[IF(L$85<=3,Lookups!$D19,IF(L$85<=4,Lookups!$F19,IF(L$85<=5,Lookups!$H19,IF(L$85<=10,$J19,IF(L$85<=15,Lookups!$L19,IF(L$85<=20,Lookups!$N19,Lookups!$P19))))))]]></f>
        <v>0.01</v>
      </c>
      <c r="M101" s="20">
        <f><![CDATA[IF($N$85<=3,Lookups!$C19,IF(N$85<=4,Lookups!$E19,IF(N$85<=5,Lookups!$G19,IF(N$85<=10,$I19,IF(N$85<=15,Lookups!$K19,IF(N$85<=20,Lookups!$M19,Lookups!$O19))))))]]></f>
        <v>0.4</v>
      </c>
      <c r="N101" s="36">
        <f><![CDATA[IF(N$85<=3,Lookups!$D19,IF(N$85<=4,Lookups!$F19,IF(N$85<=5,Lookups!$H19,IF(N$85<=10,$J19,IF(N$85<=15,Lookups!$L19,IF(N$85<=20,Lookups!$N19,Lookups!$P19))))))]]></f>
        <v>0.01</v>
      </c>
      <c r="O101" s="20">
        <f><![CDATA[IF($P$85<=3,Lookups!$C19,IF(P$85<=4,Lookups!$E19,IF(P$85<=5,Lookups!$G19,IF(P$85<=10,$I19,IF(P$85<=15,Lookups!$K19,IF(P$85<=20,Lookups!$M19,Lookups!$O19))))))]]></f>
        <v>0.4</v>
      </c>
      <c r="P101" s="36">
        <f><![CDATA[IF(P$85<=3,Lookups!$D19,IF(P$85<=4,Lookups!$F19,IF(P$85<=5,Lookups!$H19,IF(P$85<=10,$J19,IF(P$85<=15,Lookups!$L19,IF(P$85<=20,Lookups!$N19,Lookups!$P19))))))]]></f>
        <v>0.01</v>
      </c>
    </row>
    <row r="102" spans="2:28" x14ac:dyDescent="0.25">
      <c r="B102" s="18">
        <v>1400000</v>
      </c>
      <c r="C102" s="20">
        <f><![CDATA[IF($D$85<=3,Lookups!$C20,IF(D$85<=4,Lookups!$E20,IF(D$85<=5,Lookups!$G20,IF(D$85<=10,$I20,IF(D$85<=15,Lookups!$K20,IF(D$85<=20,Lookups!$M20,Lookups!$O20))))))]]></f>
        <v>0.4</v>
      </c>
      <c r="D102" s="36">
        <f><![CDATA[IF(D$85<=3,Lookups!$D20,IF(D$85<=4,Lookups!$F20,IF(D$85<=5,Lookups!$H20,IF(D$85<=10,$J20,IF(D$85<=15,Lookups!$L20,IF(D$85<=20,Lookups!$N20,Lookups!$P20))))))]]></f>
        <v>0.01</v>
      </c>
      <c r="E102" s="20">
        <f><![CDATA[IF($F$85<=3,Lookups!$C20,IF(F$85<=4,Lookups!$E20,IF(F$85<=5,Lookups!$G20,IF(F$85<=10,$I20,IF(F$85<=15,Lookups!$K20,IF(F$85<=20,Lookups!$M20,Lookups!$O20))))))]]></f>
        <v>0.4</v>
      </c>
      <c r="F102" s="36">
        <f><![CDATA[IF(F$85<=3,Lookups!$D20,IF(F$85<=4,Lookups!$F20,IF(F$85<=5,Lookups!$H20,IF(F$85<=10,$J20,IF(F$85<=15,Lookups!$L20,IF(F$85<=20,Lookups!$N20,Lookups!$P20))))))]]></f>
        <v>0.01</v>
      </c>
      <c r="G102" s="20">
        <f><![CDATA[IF($H$85<=3,Lookups!$C20,IF(H$85<=4,Lookups!$E20,IF(H$85<=5,Lookups!$G20,IF(H$85<=10,$I20,IF(H$85<=15,Lookups!$K20,IF(H$85<=20,Lookups!$M20,Lookups!$O20))))))]]></f>
        <v>0.4</v>
      </c>
      <c r="H102" s="36">
        <f><![CDATA[IF(H$85<=3,Lookups!$D20,IF(H$85<=4,Lookups!$F20,IF(H$85<=5,Lookups!$H20,IF(H$85<=10,$J20,IF(H$85<=15,Lookups!$L20,IF(H$85<=20,Lookups!$N20,Lookups!$P20))))))]]></f>
        <v>0.01</v>
      </c>
      <c r="I102" s="20">
        <f><![CDATA[IF($J$85<=3,Lookups!$C20,IF(J$85<=4,Lookups!$E20,IF(J$85<=5,Lookups!$G20,IF(J$85<=10,$I20,IF(J$85<=15,Lookups!$K20,IF(J$85<=20,Lookups!$M20,Lookups!$O20))))))]]></f>
        <v>0.4</v>
      </c>
      <c r="J102" s="36">
        <f><![CDATA[IF(J$85<=3,Lookups!$D20,IF(J$85<=4,Lookups!$F20,IF(J$85<=5,Lookups!$H20,IF(J$85<=10,$J20,IF(J$85<=15,Lookups!$L20,IF(J$85<=20,Lookups!$N20,Lookups!$P20))))))]]></f>
        <v>0.01</v>
      </c>
      <c r="K102" s="20">
        <f><![CDATA[IF($L$85<=3,Lookups!$C20,IF(L$85<=4,Lookups!$E20,IF(L$85<=5,Lookups!$G20,IF(L$85<=10,$I20,IF(L$85<=15,Lookups!$K20,IF(L$85<=20,Lookups!$M20,Lookups!$O20))))))]]></f>
        <v>0.4</v>
      </c>
      <c r="L102" s="36">
        <f><![CDATA[IF(L$85<=3,Lookups!$D20,IF(L$85<=4,Lookups!$F20,IF(L$85<=5,Lookups!$H20,IF(L$85<=10,$J20,IF(L$85<=15,Lookups!$L20,IF(L$85<=20,Lookups!$N20,Lookups!$P20))))))]]></f>
        <v>0.01</v>
      </c>
      <c r="M102" s="20">
        <f><![CDATA[IF($N$85<=3,Lookups!$C20,IF(N$85<=4,Lookups!$E20,IF(N$85<=5,Lookups!$G20,IF(N$85<=10,$I20,IF(N$85<=15,Lookups!$K20,IF(N$85<=20,Lookups!$M20,Lookups!$O20))))))]]></f>
        <v>0.4</v>
      </c>
      <c r="N102" s="36">
        <f><![CDATA[IF(N$85<=3,Lookups!$D20,IF(N$85<=4,Lookups!$F20,IF(N$85<=5,Lookups!$H20,IF(N$85<=10,$J20,IF(N$85<=15,Lookups!$L20,IF(N$85<=20,Lookups!$N20,Lookups!$P20))))))]]></f>
        <v>0.01</v>
      </c>
      <c r="O102" s="20">
        <f><![CDATA[IF($P$85<=3,Lookups!$C20,IF(P$85<=4,Lookups!$E20,IF(P$85<=5,Lookups!$G20,IF(P$85<=10,$I20,IF(P$85<=15,Lookups!$K20,IF(P$85<=20,Lookups!$M20,Lookups!$O20))))))]]></f>
        <v>0.4</v>
      </c>
      <c r="P102" s="36">
        <f><![CDATA[IF(P$85<=3,Lookups!$D20,IF(P$85<=4,Lookups!$F20,IF(P$85<=5,Lookups!$H20,IF(P$85<=10,$J20,IF(P$85<=15,Lookups!$L20,IF(P$85<=20,Lookups!$N20,Lookups!$P20))))))]]></f>
        <v>0.01</v>
      </c>
    </row>
    <row r="103" spans="2:28" x14ac:dyDescent="0.25">
      <c r="B103" s="18">
        <v>1500000</v>
      </c>
      <c r="C103" s="20">
        <f><![CDATA[IF($D$85<=3,Lookups!$C21,IF(D$85<=4,Lookups!$E21,IF(D$85<=5,Lookups!$G21,IF(D$85<=10,$I21,IF(D$85<=15,Lookups!$K21,IF(D$85<=20,Lookups!$M21,Lookups!$O21))))))]]></f>
        <v>0.4</v>
      </c>
      <c r="D103" s="36">
        <f><![CDATA[IF(D$85<=3,Lookups!$D21,IF(D$85<=4,Lookups!$F21,IF(D$85<=5,Lookups!$H21,IF(D$85<=10,$J21,IF(D$85<=15,Lookups!$L21,IF(D$85<=20,Lookups!$N21,Lookups!$P21))))))]]></f>
        <v>0.01</v>
      </c>
      <c r="E103" s="20">
        <f><![CDATA[IF($F$85<=3,Lookups!$C21,IF(F$85<=4,Lookups!$E21,IF(F$85<=5,Lookups!$G21,IF(F$85<=10,$I21,IF(F$85<=15,Lookups!$K21,IF(F$85<=20,Lookups!$M21,Lookups!$O21))))))]]></f>
        <v>0.4</v>
      </c>
      <c r="F103" s="36">
        <f><![CDATA[IF(F$85<=3,Lookups!$D21,IF(F$85<=4,Lookups!$F21,IF(F$85<=5,Lookups!$H21,IF(F$85<=10,$J21,IF(F$85<=15,Lookups!$L21,IF(F$85<=20,Lookups!$N21,Lookups!$P21))))))]]></f>
        <v>0.01</v>
      </c>
      <c r="G103" s="20">
        <f><![CDATA[IF($H$85<=3,Lookups!$C21,IF(H$85<=4,Lookups!$E21,IF(H$85<=5,Lookups!$G21,IF(H$85<=10,$I21,IF(H$85<=15,Lookups!$K21,IF(H$85<=20,Lookups!$M21,Lookups!$O21))))))]]></f>
        <v>0.4</v>
      </c>
      <c r="H103" s="36">
        <f><![CDATA[IF(H$85<=3,Lookups!$D21,IF(H$85<=4,Lookups!$F21,IF(H$85<=5,Lookups!$H21,IF(H$85<=10,$J21,IF(H$85<=15,Lookups!$L21,IF(H$85<=20,Lookups!$N21,Lookups!$P21))))))]]></f>
        <v>0.01</v>
      </c>
      <c r="I103" s="20">
        <f><![CDATA[IF($J$85<=3,Lookups!$C21,IF(J$85<=4,Lookups!$E21,IF(J$85<=5,Lookups!$G21,IF(J$85<=10,$I21,IF(J$85<=15,Lookups!$K21,IF(J$85<=20,Lookups!$M21,Lookups!$O21))))))]]></f>
        <v>0.4</v>
      </c>
      <c r="J103" s="36">
        <f><![CDATA[IF(J$85<=3,Lookups!$D21,IF(J$85<=4,Lookups!$F21,IF(J$85<=5,Lookups!$H21,IF(J$85<=10,$J21,IF(J$85<=15,Lookups!$L21,IF(J$85<=20,Lookups!$N21,Lookups!$P21))))))]]></f>
        <v>0.01</v>
      </c>
      <c r="K103" s="20">
        <f><![CDATA[IF($L$85<=3,Lookups!$C21,IF(L$85<=4,Lookups!$E21,IF(L$85<=5,Lookups!$G21,IF(L$85<=10,$I21,IF(L$85<=15,Lookups!$K21,IF(L$85<=20,Lookups!$M21,Lookups!$O21))))))]]></f>
        <v>0.4</v>
      </c>
      <c r="L103" s="36">
        <f><![CDATA[IF(L$85<=3,Lookups!$D21,IF(L$85<=4,Lookups!$F21,IF(L$85<=5,Lookups!$H21,IF(L$85<=10,$J21,IF(L$85<=15,Lookups!$L21,IF(L$85<=20,Lookups!$N21,Lookups!$P21))))))]]></f>
        <v>0.01</v>
      </c>
      <c r="M103" s="20">
        <f><![CDATA[IF($N$85<=3,Lookups!$C21,IF(N$85<=4,Lookups!$E21,IF(N$85<=5,Lookups!$G21,IF(N$85<=10,$I21,IF(N$85<=15,Lookups!$K21,IF(N$85<=20,Lookups!$M21,Lookups!$O21))))))]]></f>
        <v>0.4</v>
      </c>
      <c r="N103" s="36">
        <f><![CDATA[IF(N$85<=3,Lookups!$D21,IF(N$85<=4,Lookups!$F21,IF(N$85<=5,Lookups!$H21,IF(N$85<=10,$J21,IF(N$85<=15,Lookups!$L21,IF(N$85<=20,Lookups!$N21,Lookups!$P21))))))]]></f>
        <v>0.01</v>
      </c>
      <c r="O103" s="20">
        <f><![CDATA[IF($P$85<=3,Lookups!$C21,IF(P$85<=4,Lookups!$E21,IF(P$85<=5,Lookups!$G21,IF(P$85<=10,$I21,IF(P$85<=15,Lookups!$K21,IF(P$85<=20,Lookups!$M21,Lookups!$O21))))))]]></f>
        <v>0.4</v>
      </c>
      <c r="P103" s="36">
        <f><![CDATA[IF(P$85<=3,Lookups!$D21,IF(P$85<=4,Lookups!$F21,IF(P$85<=5,Lookups!$H21,IF(P$85<=10,$J21,IF(P$85<=15,Lookups!$L21,IF(P$85<=20,Lookups!$N21,Lookups!$P21))))))]]></f>
        <v>0.01</v>
      </c>
    </row>
    <row r="104" spans="2:28" x14ac:dyDescent="0.25">
      <c r="B104" s="18">
        <v>1600000</v>
      </c>
      <c r="C104" s="20">
        <f><![CDATA[IF($D$85<=3,Lookups!$C22,IF(D$85<=4,Lookups!$E22,IF(D$85<=5,Lookups!$G22,IF(D$85<=10,$I22,IF(D$85<=15,Lookups!$K22,IF(D$85<=20,Lookups!$M22,Lookups!$O22))))))]]></f>
        <v>0.4</v>
      </c>
      <c r="D104" s="36">
        <f><![CDATA[IF(D$85<=3,Lookups!$D22,IF(D$85<=4,Lookups!$F22,IF(D$85<=5,Lookups!$H22,IF(D$85<=10,$J22,IF(D$85<=15,Lookups!$L22,IF(D$85<=20,Lookups!$N22,Lookups!$P22))))))]]></f>
        <v>0.01</v>
      </c>
      <c r="E104" s="20">
        <f><![CDATA[IF($F$85<=3,Lookups!$C22,IF(F$85<=4,Lookups!$E22,IF(F$85<=5,Lookups!$G22,IF(F$85<=10,$I22,IF(F$85<=15,Lookups!$K22,IF(F$85<=20,Lookups!$M22,Lookups!$O22))))))]]></f>
        <v>0.4</v>
      </c>
      <c r="F104" s="36">
        <f><![CDATA[IF(F$85<=3,Lookups!$D22,IF(F$85<=4,Lookups!$F22,IF(F$85<=5,Lookups!$H22,IF(F$85<=10,$J22,IF(F$85<=15,Lookups!$L22,IF(F$85<=20,Lookups!$N22,Lookups!$P22))))))]]></f>
        <v>0.01</v>
      </c>
      <c r="G104" s="20">
        <f><![CDATA[IF($H$85<=3,Lookups!$C22,IF(H$85<=4,Lookups!$E22,IF(H$85<=5,Lookups!$G22,IF(H$85<=10,$I22,IF(H$85<=15,Lookups!$K22,IF(H$85<=20,Lookups!$M22,Lookups!$O22))))))]]></f>
        <v>0.4</v>
      </c>
      <c r="H104" s="36">
        <f><![CDATA[IF(H$85<=3,Lookups!$D22,IF(H$85<=4,Lookups!$F22,IF(H$85<=5,Lookups!$H22,IF(H$85<=10,$J22,IF(H$85<=15,Lookups!$L22,IF(H$85<=20,Lookups!$N22,Lookups!$P22))))))]]></f>
        <v>0.01</v>
      </c>
      <c r="I104" s="20">
        <f><![CDATA[IF($J$85<=3,Lookups!$C22,IF(J$85<=4,Lookups!$E22,IF(J$85<=5,Lookups!$G22,IF(J$85<=10,$I22,IF(J$85<=15,Lookups!$K22,IF(J$85<=20,Lookups!$M22,Lookups!$O22))))))]]></f>
        <v>0.4</v>
      </c>
      <c r="J104" s="36">
        <f><![CDATA[IF(J$85<=3,Lookups!$D22,IF(J$85<=4,Lookups!$F22,IF(J$85<=5,Lookups!$H22,IF(J$85<=10,$J22,IF(J$85<=15,Lookups!$L22,IF(J$85<=20,Lookups!$N22,Lookups!$P22))))))]]></f>
        <v>0.01</v>
      </c>
      <c r="K104" s="20">
        <f><![CDATA[IF($L$85<=3,Lookups!$C22,IF(L$85<=4,Lookups!$E22,IF(L$85<=5,Lookups!$G22,IF(L$85<=10,$I22,IF(L$85<=15,Lookups!$K22,IF(L$85<=20,Lookups!$M22,Lookups!$O22))))))]]></f>
        <v>0.4</v>
      </c>
      <c r="L104" s="36">
        <f><![CDATA[IF(L$85<=3,Lookups!$D22,IF(L$85<=4,Lookups!$F22,IF(L$85<=5,Lookups!$H22,IF(L$85<=10,$J22,IF(L$85<=15,Lookups!$L22,IF(L$85<=20,Lookups!$N22,Lookups!$P22))))))]]></f>
        <v>0.01</v>
      </c>
      <c r="M104" s="20">
        <f><![CDATA[IF($N$85<=3,Lookups!$C22,IF(N$85<=4,Lookups!$E22,IF(N$85<=5,Lookups!$G22,IF(N$85<=10,$I22,IF(N$85<=15,Lookups!$K22,IF(N$85<=20,Lookups!$M22,Lookups!$O22))))))]]></f>
        <v>0.4</v>
      </c>
      <c r="N104" s="36">
        <f><![CDATA[IF(N$85<=3,Lookups!$D22,IF(N$85<=4,Lookups!$F22,IF(N$85<=5,Lookups!$H22,IF(N$85<=10,$J22,IF(N$85<=15,Lookups!$L22,IF(N$85<=20,Lookups!$N22,Lookups!$P22))))))]]></f>
        <v>0.01</v>
      </c>
      <c r="O104" s="20">
        <f><![CDATA[IF($P$85<=3,Lookups!$C22,IF(P$85<=4,Lookups!$E22,IF(P$85<=5,Lookups!$G22,IF(P$85<=10,$I22,IF(P$85<=15,Lookups!$K22,IF(P$85<=20,Lookups!$M22,Lookups!$O22))))))]]></f>
        <v>0.4</v>
      </c>
      <c r="P104" s="36">
        <f><![CDATA[IF(P$85<=3,Lookups!$D22,IF(P$85<=4,Lookups!$F22,IF(P$85<=5,Lookups!$H22,IF(P$85<=10,$J22,IF(P$85<=15,Lookups!$L22,IF(P$85<=20,Lookups!$N22,Lookups!$P22))))))]]></f>
        <v>0.01</v>
      </c>
    </row>
    <row r="105" spans="2:28" x14ac:dyDescent="0.25">
      <c r="B105" s="18">
        <v>1700000</v>
      </c>
      <c r="C105" s="20">
        <f><![CDATA[IF($D$85<=3,Lookups!$C23,IF(D$85<=4,Lookups!$E23,IF(D$85<=5,Lookups!$G23,IF(D$85<=10,$I23,IF(D$85<=15,Lookups!$K23,IF(D$85<=20,Lookups!$M23,Lookups!$O23))))))]]></f>
        <v>0.4</v>
      </c>
      <c r="D105" s="36">
        <f><![CDATA[IF(D$85<=3,Lookups!$D23,IF(D$85<=4,Lookups!$F23,IF(D$85<=5,Lookups!$H23,IF(D$85<=10,$J23,IF(D$85<=15,Lookups!$L23,IF(D$85<=20,Lookups!$N23,Lookups!$P23))))))]]></f>
        <v>0.01</v>
      </c>
      <c r="E105" s="20">
        <f><![CDATA[IF($F$85<=3,Lookups!$C23,IF(F$85<=4,Lookups!$E23,IF(F$85<=5,Lookups!$G23,IF(F$85<=10,$I23,IF(F$85<=15,Lookups!$K23,IF(F$85<=20,Lookups!$M23,Lookups!$O23))))))]]></f>
        <v>0.4</v>
      </c>
      <c r="F105" s="36">
        <f><![CDATA[IF(F$85<=3,Lookups!$D23,IF(F$85<=4,Lookups!$F23,IF(F$85<=5,Lookups!$H23,IF(F$85<=10,$J23,IF(F$85<=15,Lookups!$L23,IF(F$85<=20,Lookups!$N23,Lookups!$P23))))))]]></f>
        <v>0.01</v>
      </c>
      <c r="G105" s="20">
        <f><![CDATA[IF($H$85<=3,Lookups!$C23,IF(H$85<=4,Lookups!$E23,IF(H$85<=5,Lookups!$G23,IF(H$85<=10,$I23,IF(H$85<=15,Lookups!$K23,IF(H$85<=20,Lookups!$M23,Lookups!$O23))))))]]></f>
        <v>0.4</v>
      </c>
      <c r="H105" s="36">
        <f><![CDATA[IF(H$85<=3,Lookups!$D23,IF(H$85<=4,Lookups!$F23,IF(H$85<=5,Lookups!$H23,IF(H$85<=10,$J23,IF(H$85<=15,Lookups!$L23,IF(H$85<=20,Lookups!$N23,Lookups!$P23))))))]]></f>
        <v>0.01</v>
      </c>
      <c r="I105" s="20">
        <f><![CDATA[IF($J$85<=3,Lookups!$C23,IF(J$85<=4,Lookups!$E23,IF(J$85<=5,Lookups!$G23,IF(J$85<=10,$I23,IF(J$85<=15,Lookups!$K23,IF(J$85<=20,Lookups!$M23,Lookups!$O23))))))]]></f>
        <v>0.4</v>
      </c>
      <c r="J105" s="36">
        <f><![CDATA[IF(J$85<=3,Lookups!$D23,IF(J$85<=4,Lookups!$F23,IF(J$85<=5,Lookups!$H23,IF(J$85<=10,$J23,IF(J$85<=15,Lookups!$L23,IF(J$85<=20,Lookups!$N23,Lookups!$P23))))))]]></f>
        <v>0.01</v>
      </c>
      <c r="K105" s="20">
        <f><![CDATA[IF($L$85<=3,Lookups!$C23,IF(L$85<=4,Lookups!$E23,IF(L$85<=5,Lookups!$G23,IF(L$85<=10,$I23,IF(L$85<=15,Lookups!$K23,IF(L$85<=20,Lookups!$M23,Lookups!$O23))))))]]></f>
        <v>0.4</v>
      </c>
      <c r="L105" s="36">
        <f><![CDATA[IF(L$85<=3,Lookups!$D23,IF(L$85<=4,Lookups!$F23,IF(L$85<=5,Lookups!$H23,IF(L$85<=10,$J23,IF(L$85<=15,Lookups!$L23,IF(L$85<=20,Lookups!$N23,Lookups!$P23))))))]]></f>
        <v>0.01</v>
      </c>
      <c r="M105" s="20">
        <f><![CDATA[IF($N$85<=3,Lookups!$C23,IF(N$85<=4,Lookups!$E23,IF(N$85<=5,Lookups!$G23,IF(N$85<=10,$I23,IF(N$85<=15,Lookups!$K23,IF(N$85<=20,Lookups!$M23,Lookups!$O23))))))]]></f>
        <v>0.4</v>
      </c>
      <c r="N105" s="36">
        <f><![CDATA[IF(N$85<=3,Lookups!$D23,IF(N$85<=4,Lookups!$F23,IF(N$85<=5,Lookups!$H23,IF(N$85<=10,$J23,IF(N$85<=15,Lookups!$L23,IF(N$85<=20,Lookups!$N23,Lookups!$P23))))))]]></f>
        <v>0.01</v>
      </c>
      <c r="O105" s="20">
        <f><![CDATA[IF($P$85<=3,Lookups!$C23,IF(P$85<=4,Lookups!$E23,IF(P$85<=5,Lookups!$G23,IF(P$85<=10,$I23,IF(P$85<=15,Lookups!$K23,IF(P$85<=20,Lookups!$M23,Lookups!$O23))))))]]></f>
        <v>0.4</v>
      </c>
      <c r="P105" s="36">
        <f><![CDATA[IF(P$85<=3,Lookups!$D23,IF(P$85<=4,Lookups!$F23,IF(P$85<=5,Lookups!$H23,IF(P$85<=10,$J23,IF(P$85<=15,Lookups!$L23,IF(P$85<=20,Lookups!$N23,Lookups!$P23))))))]]></f>
        <v>0.01</v>
      </c>
    </row>
    <row r="106" spans="2:28" x14ac:dyDescent="0.25">
      <c r="B106" s="18">
        <v>1800000</v>
      </c>
      <c r="C106" s="20">
        <f><![CDATA[IF($D$85<=3,Lookups!$C24,IF(D$85<=4,Lookups!$E24,IF(D$85<=5,Lookups!$G24,IF(D$85<=10,$I24,IF(D$85<=15,Lookups!$K24,IF(D$85<=20,Lookups!$M24,Lookups!$O24))))))]]></f>
        <v>0.4</v>
      </c>
      <c r="D106" s="36">
        <f><![CDATA[IF(D$85<=3,Lookups!$D24,IF(D$85<=4,Lookups!$F24,IF(D$85<=5,Lookups!$H24,IF(D$85<=10,$J24,IF(D$85<=15,Lookups!$L24,IF(D$85<=20,Lookups!$N24,Lookups!$P24))))))]]></f>
        <v>0.01</v>
      </c>
      <c r="E106" s="20">
        <f><![CDATA[IF($F$85<=3,Lookups!$C24,IF(F$85<=4,Lookups!$E24,IF(F$85<=5,Lookups!$G24,IF(F$85<=10,$I24,IF(F$85<=15,Lookups!$K24,IF(F$85<=20,Lookups!$M24,Lookups!$O24))))))]]></f>
        <v>0.4</v>
      </c>
      <c r="F106" s="36">
        <f><![CDATA[IF(F$85<=3,Lookups!$D24,IF(F$85<=4,Lookups!$F24,IF(F$85<=5,Lookups!$H24,IF(F$85<=10,$J24,IF(F$85<=15,Lookups!$L24,IF(F$85<=20,Lookups!$N24,Lookups!$P24))))))]]></f>
        <v>0.01</v>
      </c>
      <c r="G106" s="20">
        <f><![CDATA[IF($H$85<=3,Lookups!$C24,IF(H$85<=4,Lookups!$E24,IF(H$85<=5,Lookups!$G24,IF(H$85<=10,$I24,IF(H$85<=15,Lookups!$K24,IF(H$85<=20,Lookups!$M24,Lookups!$O24))))))]]></f>
        <v>0.4</v>
      </c>
      <c r="H106" s="36">
        <f><![CDATA[IF(H$85<=3,Lookups!$D24,IF(H$85<=4,Lookups!$F24,IF(H$85<=5,Lookups!$H24,IF(H$85<=10,$J24,IF(H$85<=15,Lookups!$L24,IF(H$85<=20,Lookups!$N24,Lookups!$P24))))))]]></f>
        <v>0.01</v>
      </c>
      <c r="I106" s="20">
        <f><![CDATA[IF($J$85<=3,Lookups!$C24,IF(J$85<=4,Lookups!$E24,IF(J$85<=5,Lookups!$G24,IF(J$85<=10,$I24,IF(J$85<=15,Lookups!$K24,IF(J$85<=20,Lookups!$M24,Lookups!$O24))))))]]></f>
        <v>0.4</v>
      </c>
      <c r="J106" s="36">
        <f><![CDATA[IF(J$85<=3,Lookups!$D24,IF(J$85<=4,Lookups!$F24,IF(J$85<=5,Lookups!$H24,IF(J$85<=10,$J24,IF(J$85<=15,Lookups!$L24,IF(J$85<=20,Lookups!$N24,Lookups!$P24))))))]]></f>
        <v>0.01</v>
      </c>
      <c r="K106" s="20">
        <f><![CDATA[IF($L$85<=3,Lookups!$C24,IF(L$85<=4,Lookups!$E24,IF(L$85<=5,Lookups!$G24,IF(L$85<=10,$I24,IF(L$85<=15,Lookups!$K24,IF(L$85<=20,Lookups!$M24,Lookups!$O24))))))]]></f>
        <v>0.4</v>
      </c>
      <c r="L106" s="36">
        <f><![CDATA[IF(L$85<=3,Lookups!$D24,IF(L$85<=4,Lookups!$F24,IF(L$85<=5,Lookups!$H24,IF(L$85<=10,$J24,IF(L$85<=15,Lookups!$L24,IF(L$85<=20,Lookups!$N24,Lookups!$P24))))))]]></f>
        <v>0.01</v>
      </c>
      <c r="M106" s="20">
        <f><![CDATA[IF($N$85<=3,Lookups!$C24,IF(N$85<=4,Lookups!$E24,IF(N$85<=5,Lookups!$G24,IF(N$85<=10,$I24,IF(N$85<=15,Lookups!$K24,IF(N$85<=20,Lookups!$M24,Lookups!$O24))))))]]></f>
        <v>0.4</v>
      </c>
      <c r="N106" s="36">
        <f><![CDATA[IF(N$85<=3,Lookups!$D24,IF(N$85<=4,Lookups!$F24,IF(N$85<=5,Lookups!$H24,IF(N$85<=10,$J24,IF(N$85<=15,Lookups!$L24,IF(N$85<=20,Lookups!$N24,Lookups!$P24))))))]]></f>
        <v>0.01</v>
      </c>
      <c r="O106" s="20">
        <f><![CDATA[IF($P$85<=3,Lookups!$C24,IF(P$85<=4,Lookups!$E24,IF(P$85<=5,Lookups!$G24,IF(P$85<=10,$I24,IF(P$85<=15,Lookups!$K24,IF(P$85<=20,Lookups!$M24,Lookups!$O24))))))]]></f>
        <v>0.4</v>
      </c>
      <c r="P106" s="36">
        <f><![CDATA[IF(P$85<=3,Lookups!$D24,IF(P$85<=4,Lookups!$F24,IF(P$85<=5,Lookups!$H24,IF(P$85<=10,$J24,IF(P$85<=15,Lookups!$L24,IF(P$85<=20,Lookups!$N24,Lookups!$P24))))))]]></f>
        <v>0.01</v>
      </c>
    </row>
    <row r="107" spans="2:28" x14ac:dyDescent="0.25">
      <c r="B107" s="18">
        <v>1900000</v>
      </c>
      <c r="C107" s="20">
        <f><![CDATA[IF($D$85<=3,Lookups!$C25,IF(D$85<=4,Lookups!$E25,IF(D$85<=5,Lookups!$G25,IF(D$85<=10,$I25,IF(D$85<=15,Lookups!$K25,IF(D$85<=20,Lookups!$M25,Lookups!$O25))))))]]></f>
        <v>0.4</v>
      </c>
      <c r="D107" s="36">
        <f><![CDATA[IF(D$85<=3,Lookups!$D25,IF(D$85<=4,Lookups!$F25,IF(D$85<=5,Lookups!$H25,IF(D$85<=10,$J25,IF(D$85<=15,Lookups!$L25,IF(D$85<=20,Lookups!$N25,Lookups!$P25))))))]]></f>
        <v>0.01</v>
      </c>
      <c r="E107" s="20">
        <f><![CDATA[IF($F$85<=3,Lookups!$C25,IF(F$85<=4,Lookups!$E25,IF(F$85<=5,Lookups!$G25,IF(F$85<=10,$I25,IF(F$85<=15,Lookups!$K25,IF(F$85<=20,Lookups!$M25,Lookups!$O25))))))]]></f>
        <v>0.4</v>
      </c>
      <c r="F107" s="36">
        <f><![CDATA[IF(F$85<=3,Lookups!$D25,IF(F$85<=4,Lookups!$F25,IF(F$85<=5,Lookups!$H25,IF(F$85<=10,$J25,IF(F$85<=15,Lookups!$L25,IF(F$85<=20,Lookups!$N25,Lookups!$P25))))))]]></f>
        <v>0.01</v>
      </c>
      <c r="G107" s="20">
        <f><![CDATA[IF($H$85<=3,Lookups!$C25,IF(H$85<=4,Lookups!$E25,IF(H$85<=5,Lookups!$G25,IF(H$85<=10,$I25,IF(H$85<=15,Lookups!$K25,IF(H$85<=20,Lookups!$M25,Lookups!$O25))))))]]></f>
        <v>0.4</v>
      </c>
      <c r="H107" s="36">
        <f><![CDATA[IF(H$85<=3,Lookups!$D25,IF(H$85<=4,Lookups!$F25,IF(H$85<=5,Lookups!$H25,IF(H$85<=10,$J25,IF(H$85<=15,Lookups!$L25,IF(H$85<=20,Lookups!$N25,Lookups!$P25))))))]]></f>
        <v>0.01</v>
      </c>
      <c r="I107" s="20">
        <f><![CDATA[IF($J$85<=3,Lookups!$C25,IF(J$85<=4,Lookups!$E25,IF(J$85<=5,Lookups!$G25,IF(J$85<=10,$I25,IF(J$85<=15,Lookups!$K25,IF(J$85<=20,Lookups!$M25,Lookups!$O25))))))]]></f>
        <v>0.4</v>
      </c>
      <c r="J107" s="36">
        <f><![CDATA[IF(J$85<=3,Lookups!$D25,IF(J$85<=4,Lookups!$F25,IF(J$85<=5,Lookups!$H25,IF(J$85<=10,$J25,IF(J$85<=15,Lookups!$L25,IF(J$85<=20,Lookups!$N25,Lookups!$P25))))))]]></f>
        <v>0.01</v>
      </c>
      <c r="K107" s="20">
        <f><![CDATA[IF($L$85<=3,Lookups!$C25,IF(L$85<=4,Lookups!$E25,IF(L$85<=5,Lookups!$G25,IF(L$85<=10,$I25,IF(L$85<=15,Lookups!$K25,IF(L$85<=20,Lookups!$M25,Lookups!$O25))))))]]></f>
        <v>0.4</v>
      </c>
      <c r="L107" s="36">
        <f><![CDATA[IF(L$85<=3,Lookups!$D25,IF(L$85<=4,Lookups!$F25,IF(L$85<=5,Lookups!$H25,IF(L$85<=10,$J25,IF(L$85<=15,Lookups!$L25,IF(L$85<=20,Lookups!$N25,Lookups!$P25))))))]]></f>
        <v>0.01</v>
      </c>
      <c r="M107" s="20">
        <f><![CDATA[IF($N$85<=3,Lookups!$C25,IF(N$85<=4,Lookups!$E25,IF(N$85<=5,Lookups!$G25,IF(N$85<=10,$I25,IF(N$85<=15,Lookups!$K25,IF(N$85<=20,Lookups!$M25,Lookups!$O25))))))]]></f>
        <v>0.4</v>
      </c>
      <c r="N107" s="36">
        <f><![CDATA[IF(N$85<=3,Lookups!$D25,IF(N$85<=4,Lookups!$F25,IF(N$85<=5,Lookups!$H25,IF(N$85<=10,$J25,IF(N$85<=15,Lookups!$L25,IF(N$85<=20,Lookups!$N25,Lookups!$P25))))))]]></f>
        <v>0.01</v>
      </c>
      <c r="O107" s="20">
        <f><![CDATA[IF($P$85<=3,Lookups!$C25,IF(P$85<=4,Lookups!$E25,IF(P$85<=5,Lookups!$G25,IF(P$85<=10,$I25,IF(P$85<=15,Lookups!$K25,IF(P$85<=20,Lookups!$M25,Lookups!$O25))))))]]></f>
        <v>0.4</v>
      </c>
      <c r="P107" s="36">
        <f><![CDATA[IF(P$85<=3,Lookups!$D25,IF(P$85<=4,Lookups!$F25,IF(P$85<=5,Lookups!$H25,IF(P$85<=10,$J25,IF(P$85<=15,Lookups!$L25,IF(P$85<=20,Lookups!$N25,Lookups!$P25))))))]]></f>
        <v>0.01</v>
      </c>
    </row>
    <row r="108" spans="2:28" x14ac:dyDescent="0.25">
      <c r="D108" s="37"/>
    </row>
    <row r="111" spans="2:28" x14ac:dyDescent="0.25">
      <c r="C111" t="s" s="0">
        <v>7</v>
      </c>
      <c r="D111" s="133">
        <f>+Inputs!C40</f>
        <v>0</v>
      </c>
      <c r="F111" s="133">
        <f>+Inputs!C40+1</f>
        <v>1</v>
      </c>
      <c r="H111" s="133">
        <f>+Inputs!C40+2</f>
        <v>2</v>
      </c>
      <c r="J111" s="133">
        <f>+Inputs!C40+3</f>
        <v>3</v>
      </c>
      <c r="L111" s="133">
        <f>+Inputs!C40+4</f>
        <v>4</v>
      </c>
      <c r="N111" s="133">
        <f>+Inputs!C40+5</f>
        <v>5</v>
      </c>
      <c r="P111" s="133">
        <f>+Inputs!C40+6</f>
        <v>6</v>
      </c>
    </row>
    <row r="112" spans="2:28" x14ac:dyDescent="0.25">
      <c r="B112" s="9" t="s">
        <v>33</v>
      </c>
      <c r="C112" s="12" t="s">
        <v>37</v>
      </c>
      <c r="D112" s="11"/>
      <c r="E112" s="12" t="s">
        <v>37</v>
      </c>
      <c r="F112" s="11"/>
      <c r="G112" s="12" t="s">
        <v>37</v>
      </c>
      <c r="H112" s="11"/>
      <c r="I112" s="12" t="s">
        <v>37</v>
      </c>
      <c r="J112" s="11"/>
      <c r="K112" s="12" t="s">
        <v>37</v>
      </c>
      <c r="L112" s="11"/>
      <c r="M112" s="12" t="s">
        <v>37</v>
      </c>
      <c r="N112" s="11"/>
      <c r="O112" s="12" t="s">
        <v>37</v>
      </c>
      <c r="P112" s="11"/>
    </row>
    <row r="113" spans="2:18" x14ac:dyDescent="0.25">
      <c r="B113" s="13" t="s">
        <v>34</v>
      </c>
      <c r="C113" s="206" t="s">
        <v>0</v>
      </c>
      <c r="D113" s="207"/>
      <c r="E113" s="206" t="s">
        <v>1</v>
      </c>
      <c r="F113" s="207"/>
      <c r="G113" s="206" t="s">
        <v>2</v>
      </c>
      <c r="H113" s="207"/>
      <c r="I113" s="206" t="s">
        <v>3</v>
      </c>
      <c r="J113" s="207"/>
      <c r="K113" s="206" t="s">
        <v>4</v>
      </c>
      <c r="L113" s="207"/>
      <c r="M113" s="206" t="s">
        <v>16</v>
      </c>
      <c r="N113" s="207"/>
      <c r="O113" s="206" t="s">
        <v>17</v>
      </c>
      <c r="P113" s="207"/>
    </row>
    <row r="114" spans="2:18" x14ac:dyDescent="0.25">
      <c r="B114" s="18">
        <v>0</v>
      </c>
      <c r="C114" s="20">
        <f><![CDATA[IF($D$111<=3,Lookups!$C6,IF(D$111<=4,Lookups!$E6,IF(D$111<=5,Lookups!$G6,IF(D$111<=10,$I6,IF(D$111<=15,Lookups!$K6,IF(D$111<=20,Lookups!$M6,Lookups!$O6))))))]]></f>
        <v>0.25</v>
      </c>
      <c r="D114" s="36">
        <f><![CDATA[IF(D$111<=3,Lookups!$D6,IF(D$111<=4,Lookups!$F6,IF(D$111<=5,Lookups!$H6,IF(D$111<=10,$J6,IF(D$111<=15,Lookups!$L6,IF(D$111<=20,Lookups!$N6,Lookups!$P6))))))]]></f>
        <v>0</v>
      </c>
      <c r="E114" s="20">
        <f><![CDATA[IF($F$111<=3,Lookups!$C6,IF(F$111<=4,Lookups!$E6,IF(F$111<=5,Lookups!$G6,IF(F$111<=10,$I6,IF(F$111<=15,Lookups!$K6,IF(F$111<=20,Lookups!$M6,Lookups!$O6))))))]]></f>
        <v>0.25</v>
      </c>
      <c r="F114" s="36">
        <f><![CDATA[IF(F$111<=3,Lookups!$D6,IF(F$111<=4,Lookups!$F6,IF(F$111<=5,Lookups!$H6,IF(F$111<=10,$J6,IF(F$111<=15,Lookups!$L6,IF(F$111<=20,Lookups!$N6,Lookups!$P6))))))]]></f>
        <v>0</v>
      </c>
      <c r="G114" s="20">
        <f><![CDATA[IF($H$111<=3,Lookups!$C6,IF(H$111<=4,Lookups!$E6,IF(H$111<=5,Lookups!$G6,IF(H$111<=10,$I6,IF(H$111<=15,Lookups!$K6,IF(H$111<=20,Lookups!$M6,Lookups!$O6))))))]]></f>
        <v>0.25</v>
      </c>
      <c r="H114" s="36">
        <f><![CDATA[IF(H$111<=3,Lookups!$D6,IF(H$111<=4,Lookups!$F6,IF(H$111<=5,Lookups!$H6,IF(H$111<=10,$J6,IF(H$111<=15,Lookups!$L6,IF(H$111<=20,Lookups!$N6,Lookups!$P6))))))]]></f>
        <v>0</v>
      </c>
      <c r="I114" s="20">
        <f><![CDATA[IF($J$111<=3,Lookups!$C6,IF(J$111<=4,Lookups!$E6,IF(J$111<=5,Lookups!$G6,IF(J$111<=10,$I6,IF(J$111<=15,Lookups!$K6,IF(J$111<=20,Lookups!$M6,Lookups!$O6))))))]]></f>
        <v>0.25</v>
      </c>
      <c r="J114" s="36">
        <f><![CDATA[IF(J$111<=3,Lookups!$D6,IF(J$111<=4,Lookups!$F6,IF(J$111<=5,Lookups!$H6,IF(J$111<=10,$J6,IF(J$111<=15,Lookups!$L6,IF(J$111<=20,Lookups!$N6,Lookups!$P6))))))]]></f>
        <v>0</v>
      </c>
      <c r="K114" s="20">
        <f><![CDATA[IF($L$111<=3,Lookups!$C6,IF(L$111<=4,Lookups!$E6,IF(L$111<=5,Lookups!$G6,IF(L$111<=10,$I6,IF(L$111<=15,Lookups!$K6,IF(L$111<=20,Lookups!$M6,Lookups!$O6))))))]]></f>
        <v>0.25</v>
      </c>
      <c r="L114" s="36">
        <f><![CDATA[IF(L$111<=3,Lookups!$D6,IF(L$111<=4,Lookups!$F6,IF(L$111<=5,Lookups!$H6,IF(L$111<=10,$J6,IF(L$111<=15,Lookups!$L6,IF(L$111<=20,Lookups!$N6,Lookups!$P6))))))]]></f>
        <v>0</v>
      </c>
      <c r="M114" s="20">
        <f><![CDATA[IF($N$111<=3,Lookups!$C6,IF(N$111<=4,Lookups!$E6,IF(N$111<=5,Lookups!$G6,IF(N$111<=10,$I6,IF(N$111<=15,Lookups!$K6,IF(N$111<=20,Lookups!$M6,Lookups!$O6))))))]]></f>
        <v>0.25</v>
      </c>
      <c r="N114" s="36">
        <f><![CDATA[IF(N$111<=3,Lookups!$D6,IF(N$111<=4,Lookups!$F6,IF(N$111<=5,Lookups!$H6,IF(N$111<=10,$J6,IF(N$111<=15,Lookups!$L6,IF(N$111<=20,Lookups!$N6,Lookups!$P6))))))]]></f>
        <v>0</v>
      </c>
      <c r="O114" s="20">
        <f><![CDATA[IF($P$111<=3,Lookups!$C6,IF(P$111<=4,Lookups!$E6,IF(P$111<=5,Lookups!$G6,IF(P$111<=10,$I6,IF(P$111<=15,Lookups!$K6,IF(P$111<=20,Lookups!$M6,Lookups!$O6))))))]]></f>
        <v>0.25</v>
      </c>
      <c r="P114" s="36">
        <f><![CDATA[IF(P$111<=3,Lookups!$D6,IF(P$111<=4,Lookups!$F6,IF(P$111<=5,Lookups!$H6,IF(P$111<=10,$J6,IF(P$111<=15,Lookups!$L6,IF(P$111<=20,Lookups!$N6,Lookups!$P6))))))]]></f>
        <v>0</v>
      </c>
    </row>
    <row r="115" spans="2:18" x14ac:dyDescent="0.25">
      <c r="B115" s="18">
        <v>100000</v>
      </c>
      <c r="C115" s="20">
        <f><![CDATA[IF($D$111<=3,Lookups!$C7,IF(D$111<=4,Lookups!$E7,IF(D$111<=5,Lookups!$G7,IF(D$111<=10,$I7,IF(D$111<=15,Lookups!$K7,IF(D$111<=20,Lookups!$M7,Lookups!$O7))))))]]></f>
        <v>0.4</v>
      </c>
      <c r="D115" s="36">
        <f><![CDATA[IF(D$111<=3,Lookups!$D7,IF(D$111<=4,Lookups!$F7,IF(D$111<=5,Lookups!$H7,IF(D$111<=10,$J7,IF(D$111<=15,Lookups!$L7,IF(D$111<=20,Lookups!$N7,Lookups!$P7))))))]]></f>
        <v>0</v>
      </c>
      <c r="E115" s="20">
        <f><![CDATA[IF($F$111<=3,Lookups!$C7,IF(F$111<=4,Lookups!$E7,IF(F$111<=5,Lookups!$G7,IF(F$111<=10,$I7,IF(F$111<=15,Lookups!$K7,IF(F$111<=20,Lookups!$M7,Lookups!$O7))))))]]></f>
        <v>0.4</v>
      </c>
      <c r="F115" s="36">
        <f><![CDATA[IF(F$111<=3,Lookups!$D7,IF(F$111<=4,Lookups!$F7,IF(F$111<=5,Lookups!$H7,IF(F$111<=10,$J7,IF(F$111<=15,Lookups!$L7,IF(F$111<=20,Lookups!$N7,Lookups!$P7))))))]]></f>
        <v>0</v>
      </c>
      <c r="G115" s="20">
        <f><![CDATA[IF($H$111<=3,Lookups!$C7,IF(H$111<=4,Lookups!$E7,IF(H$111<=5,Lookups!$G7,IF(H$111<=10,$I7,IF(H$111<=15,Lookups!$K7,IF(H$111<=20,Lookups!$M7,Lookups!$O7))))))]]></f>
        <v>0.4</v>
      </c>
      <c r="H115" s="36">
        <f><![CDATA[IF(H$111<=3,Lookups!$D7,IF(H$111<=4,Lookups!$F7,IF(H$111<=5,Lookups!$H7,IF(H$111<=10,$J7,IF(H$111<=15,Lookups!$L7,IF(H$111<=20,Lookups!$N7,Lookups!$P7))))))]]></f>
        <v>0</v>
      </c>
      <c r="I115" s="20">
        <f><![CDATA[IF($J$111<=3,Lookups!$C7,IF(J$111<=4,Lookups!$E7,IF(J$111<=5,Lookups!$G7,IF(J$111<=10,$I7,IF(J$111<=15,Lookups!$K7,IF(J$111<=20,Lookups!$M7,Lookups!$O7))))))]]></f>
        <v>0.4</v>
      </c>
      <c r="J115" s="36">
        <f><![CDATA[IF(J$111<=3,Lookups!$D7,IF(J$111<=4,Lookups!$F7,IF(J$111<=5,Lookups!$H7,IF(J$111<=10,$J7,IF(J$111<=15,Lookups!$L7,IF(J$111<=20,Lookups!$N7,Lookups!$P7))))))]]></f>
        <v>0</v>
      </c>
      <c r="K115" s="20">
        <f><![CDATA[IF($L$111<=3,Lookups!$C7,IF(L$111<=4,Lookups!$E7,IF(L$111<=5,Lookups!$G7,IF(L$111<=10,$I7,IF(L$111<=15,Lookups!$K7,IF(L$111<=20,Lookups!$M7,Lookups!$O7))))))]]></f>
        <v>0.4</v>
      </c>
      <c r="L115" s="36">
        <f><![CDATA[IF(L$111<=3,Lookups!$D7,IF(L$111<=4,Lookups!$F7,IF(L$111<=5,Lookups!$H7,IF(L$111<=10,$J7,IF(L$111<=15,Lookups!$L7,IF(L$111<=20,Lookups!$N7,Lookups!$P7))))))]]></f>
        <v>0</v>
      </c>
      <c r="M115" s="20">
        <f><![CDATA[IF($N$111<=3,Lookups!$C7,IF(N$111<=4,Lookups!$E7,IF(N$111<=5,Lookups!$G7,IF(N$111<=10,$I7,IF(N$111<=15,Lookups!$K7,IF(N$111<=20,Lookups!$M7,Lookups!$O7))))))]]></f>
        <v>0.4</v>
      </c>
      <c r="N115" s="36">
        <f><![CDATA[IF(N$111<=3,Lookups!$D7,IF(N$111<=4,Lookups!$F7,IF(N$111<=5,Lookups!$H7,IF(N$111<=10,$J7,IF(N$111<=15,Lookups!$L7,IF(N$111<=20,Lookups!$N7,Lookups!$P7))))))]]></f>
        <v>0</v>
      </c>
      <c r="O115" s="20">
        <f><![CDATA[IF($P$111<=3,Lookups!$C7,IF(P$111<=4,Lookups!$E7,IF(P$111<=5,Lookups!$G7,IF(P$111<=10,$I7,IF(P$111<=15,Lookups!$K7,IF(P$111<=20,Lookups!$M7,Lookups!$O7))))))]]></f>
        <v>0.4</v>
      </c>
      <c r="P115" s="36">
        <f><![CDATA[IF(P$111<=3,Lookups!$D7,IF(P$111<=4,Lookups!$F7,IF(P$111<=5,Lookups!$H7,IF(P$111<=10,$J7,IF(P$111<=15,Lookups!$L7,IF(P$111<=20,Lookups!$N7,Lookups!$P7))))))]]></f>
        <v>0</v>
      </c>
      <c r="R115" t="s" s="0">
        <v>26</v>
      </c>
    </row>
    <row r="116" spans="2:18" x14ac:dyDescent="0.25">
      <c r="B116" s="18">
        <v>200000</v>
      </c>
      <c r="C116" s="20">
        <f><![CDATA[IF($D$111<=3,Lookups!$C8,IF(D$111<=4,Lookups!$E8,IF(D$111<=5,Lookups!$G8,IF(D$111<=10,$I8,IF(D$111<=15,Lookups!$K8,IF(D$111<=20,Lookups!$M8,Lookups!$O8))))))]]></f>
        <v>0.4</v>
      </c>
      <c r="D116" s="36">
        <f><![CDATA[IF(D$111<=3,Lookups!$D8,IF(D$111<=4,Lookups!$F8,IF(D$111<=5,Lookups!$H8,IF(D$111<=10,$J8,IF(D$111<=15,Lookups!$L8,IF(D$111<=20,Lookups!$N8,Lookups!$P8))))))]]></f>
        <v>0</v>
      </c>
      <c r="E116" s="20">
        <f><![CDATA[IF($F$111<=3,Lookups!$C8,IF(F$111<=4,Lookups!$E8,IF(F$111<=5,Lookups!$G8,IF(F$111<=10,$I8,IF(F$111<=15,Lookups!$K8,IF(F$111<=20,Lookups!$M8,Lookups!$O8))))))]]></f>
        <v>0.4</v>
      </c>
      <c r="F116" s="36">
        <f><![CDATA[IF(F$111<=3,Lookups!$D8,IF(F$111<=4,Lookups!$F8,IF(F$111<=5,Lookups!$H8,IF(F$111<=10,$J8,IF(F$111<=15,Lookups!$L8,IF(F$111<=20,Lookups!$N8,Lookups!$P8))))))]]></f>
        <v>0</v>
      </c>
      <c r="G116" s="20">
        <f><![CDATA[IF($H$111<=3,Lookups!$C8,IF(H$111<=4,Lookups!$E8,IF(H$111<=5,Lookups!$G8,IF(H$111<=10,$I8,IF(H$111<=15,Lookups!$K8,IF(H$111<=20,Lookups!$M8,Lookups!$O8))))))]]></f>
        <v>0.4</v>
      </c>
      <c r="H116" s="36">
        <f><![CDATA[IF(H$111<=3,Lookups!$D8,IF(H$111<=4,Lookups!$F8,IF(H$111<=5,Lookups!$H8,IF(H$111<=10,$J8,IF(H$111<=15,Lookups!$L8,IF(H$111<=20,Lookups!$N8,Lookups!$P8))))))]]></f>
        <v>0</v>
      </c>
      <c r="I116" s="20">
        <f><![CDATA[IF($J$111<=3,Lookups!$C8,IF(J$111<=4,Lookups!$E8,IF(J$111<=5,Lookups!$G8,IF(J$111<=10,$I8,IF(J$111<=15,Lookups!$K8,IF(J$111<=20,Lookups!$M8,Lookups!$O8))))))]]></f>
        <v>0.4</v>
      </c>
      <c r="J116" s="36">
        <f><![CDATA[IF(J$111<=3,Lookups!$D8,IF(J$111<=4,Lookups!$F8,IF(J$111<=5,Lookups!$H8,IF(J$111<=10,$J8,IF(J$111<=15,Lookups!$L8,IF(J$111<=20,Lookups!$N8,Lookups!$P8))))))]]></f>
        <v>0</v>
      </c>
      <c r="K116" s="20">
        <f><![CDATA[IF($L$111<=3,Lookups!$C8,IF(L$111<=4,Lookups!$E8,IF(L$111<=5,Lookups!$G8,IF(L$111<=10,$I8,IF(L$111<=15,Lookups!$K8,IF(L$111<=20,Lookups!$M8,Lookups!$O8))))))]]></f>
        <v>0.4</v>
      </c>
      <c r="L116" s="36">
        <f><![CDATA[IF(L$111<=3,Lookups!$D8,IF(L$111<=4,Lookups!$F8,IF(L$111<=5,Lookups!$H8,IF(L$111<=10,$J8,IF(L$111<=15,Lookups!$L8,IF(L$111<=20,Lookups!$N8,Lookups!$P8))))))]]></f>
        <v>0</v>
      </c>
      <c r="M116" s="20">
        <f><![CDATA[IF($J$111<=3,Lookups!$C8,IF(N$111<=4,Lookups!$E8,IF(N$111<=5,Lookups!$G8,IF(N$111<=10,$I8,IF(N$111<=15,Lookups!$K8,IF(N$111<=20,Lookups!$M8,Lookups!$O8))))))]]></f>
        <v>0.4</v>
      </c>
      <c r="N116" s="36">
        <f><![CDATA[IF(N$111<=3,Lookups!$D8,IF(N$111<=4,Lookups!$F8,IF(N$111<=5,Lookups!$H8,IF(N$111<=10,$J8,IF(N$111<=15,Lookups!$L8,IF(N$111<=20,Lookups!$N8,Lookups!$P8))))))]]></f>
        <v>0</v>
      </c>
      <c r="O116" s="20">
        <f><![CDATA[IF($P$111<=3,Lookups!$C8,IF(P$111<=4,Lookups!$E8,IF(P$111<=5,Lookups!$G8,IF(P$111<=10,$I8,IF(P$111<=15,Lookups!$K8,IF(P$111<=20,Lookups!$M8,Lookups!$O8))))))]]></f>
        <v>0.4</v>
      </c>
      <c r="P116" s="36">
        <f><![CDATA[IF(P$111<=3,Lookups!$D8,IF(P$111<=4,Lookups!$F8,IF(P$111<=5,Lookups!$H8,IF(P$111<=10,$J8,IF(P$111<=15,Lookups!$L8,IF(P$111<=20,Lookups!$N8,Lookups!$P8))))))]]></f>
        <v>0</v>
      </c>
    </row>
    <row r="117" spans="2:18" x14ac:dyDescent="0.25">
      <c r="B117" s="18">
        <v>300000</v>
      </c>
      <c r="C117" s="20">
        <f><![CDATA[IF($D$111<=3,Lookups!$C9,IF(D$111<=4,Lookups!$E9,IF(D$111<=5,Lookups!$G9,IF(D$111<=10,$I9,IF(D$111<=15,Lookups!$K9,IF(D$111<=20,Lookups!$M9,Lookups!$O9))))))]]></f>
        <v>0.4</v>
      </c>
      <c r="D117" s="36">
        <f><![CDATA[IF(D$111<=3,Lookups!$D9,IF(D$111<=4,Lookups!$F9,IF(D$111<=5,Lookups!$H9,IF(D$111<=10,$J9,IF(D$111<=15,Lookups!$L9,IF(D$111<=20,Lookups!$N9,Lookups!$P9))))))]]></f>
        <v>0</v>
      </c>
      <c r="E117" s="20">
        <f><![CDATA[IF($F$111<=3,Lookups!$C9,IF(F$111<=4,Lookups!$E9,IF(F$111<=5,Lookups!$G9,IF(F$111<=10,$I9,IF(F$111<=15,Lookups!$K9,IF(F$111<=20,Lookups!$M9,Lookups!$O9))))))]]></f>
        <v>0.4</v>
      </c>
      <c r="F117" s="36">
        <f><![CDATA[IF(F$111<=3,Lookups!$D9,IF(F$111<=4,Lookups!$F9,IF(F$111<=5,Lookups!$H9,IF(F$111<=10,$J9,IF(F$111<=15,Lookups!$L9,IF(F$111<=20,Lookups!$N9,Lookups!$P9))))))]]></f>
        <v>0</v>
      </c>
      <c r="G117" s="20">
        <f><![CDATA[IF($H$111<=3,Lookups!$C9,IF(H$111<=4,Lookups!$E9,IF(H$111<=5,Lookups!$G9,IF(H$111<=10,$I9,IF(H$111<=15,Lookups!$K9,IF(H$111<=20,Lookups!$M9,Lookups!$O9))))))]]></f>
        <v>0.4</v>
      </c>
      <c r="H117" s="36">
        <f><![CDATA[IF(H$111<=3,Lookups!$D9,IF(H$111<=4,Lookups!$F9,IF(H$111<=5,Lookups!$H9,IF(H$111<=10,$J9,IF(H$111<=15,Lookups!$L9,IF(H$111<=20,Lookups!$N9,Lookups!$P9))))))]]></f>
        <v>0</v>
      </c>
      <c r="I117" s="20">
        <f><![CDATA[IF($J$111<=3,Lookups!$C9,IF(J$111<=4,Lookups!$E9,IF(J$111<=5,Lookups!$G9,IF(J$111<=10,$I9,IF(J$111<=15,Lookups!$K9,IF(J$111<=20,Lookups!$M9,Lookups!$O9))))))]]></f>
        <v>0.4</v>
      </c>
      <c r="J117" s="36">
        <f><![CDATA[IF(J$111<=3,Lookups!$D9,IF(J$111<=4,Lookups!$F9,IF(J$111<=5,Lookups!$H9,IF(J$111<=10,$J9,IF(J$111<=15,Lookups!$L9,IF(J$111<=20,Lookups!$N9,Lookups!$P9))))))]]></f>
        <v>0</v>
      </c>
      <c r="K117" s="20">
        <f><![CDATA[IF($L$111<=3,Lookups!$C9,IF(L$111<=4,Lookups!$E9,IF(L$111<=5,Lookups!$G9,IF(L$111<=10,$I9,IF(L$111<=15,Lookups!$K9,IF(L$111<=20,Lookups!$M9,Lookups!$O9))))))]]></f>
        <v>0.4</v>
      </c>
      <c r="L117" s="36">
        <f><![CDATA[IF(L$111<=3,Lookups!$D9,IF(L$111<=4,Lookups!$F9,IF(L$111<=5,Lookups!$H9,IF(L$111<=10,$J9,IF(L$111<=15,Lookups!$L9,IF(L$111<=20,Lookups!$N9,Lookups!$P9))))))]]></f>
        <v>0</v>
      </c>
      <c r="M117" s="20">
        <f><![CDATA[IF($J$111<=3,Lookups!$C9,IF(N$111<=4,Lookups!$E9,IF(N$111<=5,Lookups!$G9,IF(N$111<=10,$I9,IF(N$111<=15,Lookups!$K9,IF(N$111<=20,Lookups!$M9,Lookups!$O9))))))]]></f>
        <v>0.4</v>
      </c>
      <c r="N117" s="36">
        <f><![CDATA[IF(N$111<=3,Lookups!$D9,IF(N$111<=4,Lookups!$F9,IF(N$111<=5,Lookups!$H9,IF(N$111<=10,$J9,IF(N$111<=15,Lookups!$L9,IF(N$111<=20,Lookups!$N9,Lookups!$P9))))))]]></f>
        <v>0</v>
      </c>
      <c r="O117" s="20">
        <f><![CDATA[IF($P$111<=3,Lookups!$C9,IF(P$111<=4,Lookups!$E9,IF(P$111<=5,Lookups!$G9,IF(P$111<=10,$I9,IF(P$111<=15,Lookups!$K9,IF(P$111<=20,Lookups!$M9,Lookups!$O9))))))]]></f>
        <v>0.4</v>
      </c>
      <c r="P117" s="36">
        <f><![CDATA[IF(P$111<=3,Lookups!$D9,IF(P$111<=4,Lookups!$F9,IF(P$111<=5,Lookups!$H9,IF(P$111<=10,$J9,IF(P$111<=15,Lookups!$L9,IF(P$111<=20,Lookups!$N9,Lookups!$P9))))))]]></f>
        <v>0</v>
      </c>
    </row>
    <row r="118" spans="2:18" x14ac:dyDescent="0.25">
      <c r="B118" s="18">
        <v>400000</v>
      </c>
      <c r="C118" s="20">
        <f><![CDATA[IF($D$111<=3,Lookups!$C10,IF(D$111<=4,Lookups!$E10,IF(D$111<=5,Lookups!$G10,IF(D$111<=10,$I10,IF(D$111<=15,Lookups!$K10,IF(D$111<=20,Lookups!$M10,Lookups!$O10))))))]]></f>
        <v>0.4</v>
      </c>
      <c r="D118" s="36">
        <f><![CDATA[IF(D$111<=3,Lookups!$D10,IF(D$111<=4,Lookups!$F10,IF(D$111<=5,Lookups!$H10,IF(D$111<=10,$J10,IF(D$111<=15,Lookups!$L10,IF(D$111<=20,Lookups!$N10,Lookups!$P10))))))]]></f>
        <v>0</v>
      </c>
      <c r="E118" s="20">
        <f><![CDATA[IF($F$111<=3,Lookups!$C10,IF(F$111<=4,Lookups!$E10,IF(F$111<=5,Lookups!$G10,IF(F$111<=10,$I10,IF(F$111<=15,Lookups!$K10,IF(F$111<=20,Lookups!$M10,Lookups!$O10))))))]]></f>
        <v>0.4</v>
      </c>
      <c r="F118" s="36">
        <f><![CDATA[IF(F$111<=3,Lookups!$D10,IF(F$111<=4,Lookups!$F10,IF(F$111<=5,Lookups!$H10,IF(F$111<=10,$J10,IF(F$111<=15,Lookups!$L10,IF(F$111<=20,Lookups!$N10,Lookups!$P10))))))]]></f>
        <v>0</v>
      </c>
      <c r="G118" s="20">
        <f><![CDATA[IF($H$111<=3,Lookups!$C10,IF(H$111<=4,Lookups!$E10,IF(H$111<=5,Lookups!$G10,IF(H$111<=10,$I10,IF(H$111<=15,Lookups!$K10,IF(H$111<=20,Lookups!$M10,Lookups!$O10))))))]]></f>
        <v>0.4</v>
      </c>
      <c r="H118" s="36">
        <f><![CDATA[IF(H$111<=3,Lookups!$D10,IF(H$111<=4,Lookups!$F10,IF(H$111<=5,Lookups!$H10,IF(H$111<=10,$J10,IF(H$111<=15,Lookups!$L10,IF(H$111<=20,Lookups!$N10,Lookups!$P10))))))]]></f>
        <v>0</v>
      </c>
      <c r="I118" s="20">
        <f><![CDATA[IF($J$111<=3,Lookups!$C10,IF(J$111<=4,Lookups!$E10,IF(J$111<=5,Lookups!$G10,IF(J$111<=10,$I10,IF(J$111<=15,Lookups!$K10,IF(J$111<=20,Lookups!$M10,Lookups!$O10))))))]]></f>
        <v>0.4</v>
      </c>
      <c r="J118" s="36">
        <f><![CDATA[IF(J$111<=3,Lookups!$D10,IF(J$111<=4,Lookups!$F10,IF(J$111<=5,Lookups!$H10,IF(J$111<=10,$J10,IF(J$111<=15,Lookups!$L10,IF(J$111<=20,Lookups!$N10,Lookups!$P10))))))]]></f>
        <v>0</v>
      </c>
      <c r="K118" s="20">
        <f><![CDATA[IF($L$111<=3,Lookups!$C10,IF(L$111<=4,Lookups!$E10,IF(L$111<=5,Lookups!$G10,IF(L$111<=10,$I10,IF(L$111<=15,Lookups!$K10,IF(L$111<=20,Lookups!$M10,Lookups!$O10))))))]]></f>
        <v>0.4</v>
      </c>
      <c r="L118" s="36">
        <f><![CDATA[IF(L$111<=3,Lookups!$D10,IF(L$111<=4,Lookups!$F10,IF(L$111<=5,Lookups!$H10,IF(L$111<=10,$J10,IF(L$111<=15,Lookups!$L10,IF(L$111<=20,Lookups!$N10,Lookups!$P10))))))]]></f>
        <v>0</v>
      </c>
      <c r="M118" s="20">
        <f><![CDATA[IF($J$111<=3,Lookups!$C10,IF(N$111<=4,Lookups!$E10,IF(N$111<=5,Lookups!$G10,IF(N$111<=10,$I10,IF(N$111<=15,Lookups!$K10,IF(N$111<=20,Lookups!$M10,Lookups!$O10))))))]]></f>
        <v>0.4</v>
      </c>
      <c r="N118" s="36">
        <f><![CDATA[IF(N$111<=3,Lookups!$D10,IF(N$111<=4,Lookups!$F10,IF(N$111<=5,Lookups!$H10,IF(N$111<=10,$J10,IF(N$111<=15,Lookups!$L10,IF(N$111<=20,Lookups!$N10,Lookups!$P10))))))]]></f>
        <v>0</v>
      </c>
      <c r="O118" s="20">
        <f><![CDATA[IF($P$111<=3,Lookups!$C10,IF(P$111<=4,Lookups!$E10,IF(P$111<=5,Lookups!$G10,IF(P$111<=10,$I10,IF(P$111<=15,Lookups!$K10,IF(P$111<=20,Lookups!$M10,Lookups!$O10))))))]]></f>
        <v>0.4</v>
      </c>
      <c r="P118" s="36">
        <f><![CDATA[IF(P$111<=3,Lookups!$D10,IF(P$111<=4,Lookups!$F10,IF(P$111<=5,Lookups!$H10,IF(P$111<=10,$J10,IF(P$111<=15,Lookups!$L10,IF(P$111<=20,Lookups!$N10,Lookups!$P10))))))]]></f>
        <v>0</v>
      </c>
    </row>
    <row r="119" spans="2:18" x14ac:dyDescent="0.25">
      <c r="B119" s="18">
        <v>500000</v>
      </c>
      <c r="C119" s="20">
        <f><![CDATA[IF($D$111<=3,Lookups!$C11,IF(D$111<=4,Lookups!$E11,IF(D$111<=5,Lookups!$G11,IF(D$111<=10,$I11,IF(D$111<=15,Lookups!$K11,IF(D$111<=20,Lookups!$M11,Lookups!$O11))))))]]></f>
        <v>0.4</v>
      </c>
      <c r="D119" s="36">
        <f><![CDATA[IF(D$111<=3,Lookups!$D11,IF(D$111<=4,Lookups!$F11,IF(D$111<=5,Lookups!$H11,IF(D$111<=10,$J11,IF(D$111<=15,Lookups!$L11,IF(D$111<=20,Lookups!$N11,Lookups!$P11))))))]]></f>
        <v>0</v>
      </c>
      <c r="E119" s="20">
        <f><![CDATA[IF($F$111<=3,Lookups!$C11,IF(F$111<=4,Lookups!$E11,IF(F$111<=5,Lookups!$G11,IF(F$111<=10,$I11,IF(F$111<=15,Lookups!$K11,IF(F$111<=20,Lookups!$M11,Lookups!$O11))))))]]></f>
        <v>0.4</v>
      </c>
      <c r="F119" s="36">
        <f><![CDATA[IF(F$111<=3,Lookups!$D11,IF(F$111<=4,Lookups!$F11,IF(F$111<=5,Lookups!$H11,IF(F$111<=10,$J11,IF(F$111<=15,Lookups!$L11,IF(F$111<=20,Lookups!$N11,Lookups!$P11))))))]]></f>
        <v>0</v>
      </c>
      <c r="G119" s="20">
        <f><![CDATA[IF($H$111<=3,Lookups!$C11,IF(H$111<=4,Lookups!$E11,IF(H$111<=5,Lookups!$G11,IF(H$111<=10,$I11,IF(H$111<=15,Lookups!$K11,IF(H$111<=20,Lookups!$M11,Lookups!$O11))))))]]></f>
        <v>0.4</v>
      </c>
      <c r="H119" s="36">
        <f><![CDATA[IF(H$111<=3,Lookups!$D11,IF(H$111<=4,Lookups!$F11,IF(H$111<=5,Lookups!$H11,IF(H$111<=10,$J11,IF(H$111<=15,Lookups!$L11,IF(H$111<=20,Lookups!$N11,Lookups!$P11))))))]]></f>
        <v>0</v>
      </c>
      <c r="I119" s="20">
        <f><![CDATA[IF($J$111<=3,Lookups!$C11,IF(J$111<=4,Lookups!$E11,IF(J$111<=5,Lookups!$G11,IF(J$111<=10,$I11,IF(J$111<=15,Lookups!$K11,IF(J$111<=20,Lookups!$M11,Lookups!$O11))))))]]></f>
        <v>0.4</v>
      </c>
      <c r="J119" s="36">
        <f><![CDATA[IF(J$111<=3,Lookups!$D11,IF(J$111<=4,Lookups!$F11,IF(J$111<=5,Lookups!$H11,IF(J$111<=10,$J11,IF(J$111<=15,Lookups!$L11,IF(J$111<=20,Lookups!$N11,Lookups!$P11))))))]]></f>
        <v>0</v>
      </c>
      <c r="K119" s="20">
        <f><![CDATA[IF($L$111<=3,Lookups!$C11,IF(L$111<=4,Lookups!$E11,IF(L$111<=5,Lookups!$G11,IF(L$111<=10,$I11,IF(L$111<=15,Lookups!$K11,IF(L$111<=20,Lookups!$M11,Lookups!$O11))))))]]></f>
        <v>0.4</v>
      </c>
      <c r="L119" s="36">
        <f><![CDATA[IF(L$111<=3,Lookups!$D11,IF(L$111<=4,Lookups!$F11,IF(L$111<=5,Lookups!$H11,IF(L$111<=10,$J11,IF(L$111<=15,Lookups!$L11,IF(L$111<=20,Lookups!$N11,Lookups!$P11))))))]]></f>
        <v>0</v>
      </c>
      <c r="M119" s="20">
        <f><![CDATA[IF($J$111<=3,Lookups!$C11,IF(N$111<=4,Lookups!$E11,IF(N$111<=5,Lookups!$G11,IF(N$111<=10,$I11,IF(N$111<=15,Lookups!$K11,IF(N$111<=20,Lookups!$M11,Lookups!$O11))))))]]></f>
        <v>0.4</v>
      </c>
      <c r="N119" s="36">
        <f><![CDATA[IF(N$111<=3,Lookups!$D11,IF(N$111<=4,Lookups!$F11,IF(N$111<=5,Lookups!$H11,IF(N$111<=10,$J11,IF(N$111<=15,Lookups!$L11,IF(N$111<=20,Lookups!$N11,Lookups!$P11))))))]]></f>
        <v>0</v>
      </c>
      <c r="O119" s="20">
        <f><![CDATA[IF($P$111<=3,Lookups!$C11,IF(P$111<=4,Lookups!$E11,IF(P$111<=5,Lookups!$G11,IF(P$111<=10,$I11,IF(P$111<=15,Lookups!$K11,IF(P$111<=20,Lookups!$M11,Lookups!$O11))))))]]></f>
        <v>0.4</v>
      </c>
      <c r="P119" s="36">
        <f><![CDATA[IF(P$111<=3,Lookups!$D11,IF(P$111<=4,Lookups!$F11,IF(P$111<=5,Lookups!$H11,IF(P$111<=10,$J11,IF(P$111<=15,Lookups!$L11,IF(P$111<=20,Lookups!$N11,Lookups!$P11))))))]]></f>
        <v>0</v>
      </c>
    </row>
    <row r="120" spans="2:18" x14ac:dyDescent="0.25">
      <c r="B120" s="18">
        <v>600000</v>
      </c>
      <c r="C120" s="20">
        <f><![CDATA[IF($D$111<=3,Lookups!$C12,IF(D$111<=4,Lookups!$E12,IF(D$111<=5,Lookups!$G12,IF(D$111<=10,$I12,IF(D$111<=15,Lookups!$K12,IF(D$111<=20,Lookups!$M12,Lookups!$O12))))))]]></f>
        <v>0.4</v>
      </c>
      <c r="D120" s="36">
        <f><![CDATA[IF(D$111<=3,Lookups!$D12,IF(D$111<=4,Lookups!$F12,IF(D$111<=5,Lookups!$H12,IF(D$111<=10,$J12,IF(D$111<=15,Lookups!$L12,IF(D$111<=20,Lookups!$N12,Lookups!$P12))))))]]></f>
        <v>0</v>
      </c>
      <c r="E120" s="20">
        <f><![CDATA[IF($F$111<=3,Lookups!$C12,IF(F$111<=4,Lookups!$E12,IF(F$111<=5,Lookups!$G12,IF(F$111<=10,$I12,IF(F$111<=15,Lookups!$K12,IF(F$111<=20,Lookups!$M12,Lookups!$O12))))))]]></f>
        <v>0.4</v>
      </c>
      <c r="F120" s="36">
        <f><![CDATA[IF(F$111<=3,Lookups!$D12,IF(F$111<=4,Lookups!$F12,IF(F$111<=5,Lookups!$H12,IF(F$111<=10,$J12,IF(F$111<=15,Lookups!$L12,IF(F$111<=20,Lookups!$N12,Lookups!$P12))))))]]></f>
        <v>0</v>
      </c>
      <c r="G120" s="20">
        <f><![CDATA[IF($H$111<=3,Lookups!$C12,IF(H$111<=4,Lookups!$E12,IF(H$111<=5,Lookups!$G12,IF(H$111<=10,$I12,IF(H$111<=15,Lookups!$K12,IF(H$111<=20,Lookups!$M12,Lookups!$O12))))))]]></f>
        <v>0.4</v>
      </c>
      <c r="H120" s="36">
        <f><![CDATA[IF(H$111<=3,Lookups!$D12,IF(H$111<=4,Lookups!$F12,IF(H$111<=5,Lookups!$H12,IF(H$111<=10,$J12,IF(H$111<=15,Lookups!$L12,IF(H$111<=20,Lookups!$N12,Lookups!$P12))))))]]></f>
        <v>0</v>
      </c>
      <c r="I120" s="20">
        <f><![CDATA[IF($J$111<=3,Lookups!$C12,IF(J$111<=4,Lookups!$E12,IF(J$111<=5,Lookups!$G12,IF(J$111<=10,$I12,IF(J$111<=15,Lookups!$K12,IF(J$111<=20,Lookups!$M12,Lookups!$O12))))))]]></f>
        <v>0.4</v>
      </c>
      <c r="J120" s="36">
        <f><![CDATA[IF(J$111<=3,Lookups!$D12,IF(J$111<=4,Lookups!$F12,IF(J$111<=5,Lookups!$H12,IF(J$111<=10,$J12,IF(J$111<=15,Lookups!$L12,IF(J$111<=20,Lookups!$N12,Lookups!$P12))))))]]></f>
        <v>0</v>
      </c>
      <c r="K120" s="20">
        <f><![CDATA[IF($L$111<=3,Lookups!$C12,IF(L$111<=4,Lookups!$E12,IF(L$111<=5,Lookups!$G12,IF(L$111<=10,$I12,IF(L$111<=15,Lookups!$K12,IF(L$111<=20,Lookups!$M12,Lookups!$O12))))))]]></f>
        <v>0.4</v>
      </c>
      <c r="L120" s="36">
        <f><![CDATA[IF(L$111<=3,Lookups!$D12,IF(L$111<=4,Lookups!$F12,IF(L$111<=5,Lookups!$H12,IF(L$111<=10,$J12,IF(L$111<=15,Lookups!$L12,IF(L$111<=20,Lookups!$N12,Lookups!$P12))))))]]></f>
        <v>0</v>
      </c>
      <c r="M120" s="20">
        <f><![CDATA[IF($J$111<=3,Lookups!$C12,IF(N$111<=4,Lookups!$E12,IF(N$111<=5,Lookups!$G12,IF(N$111<=10,$I12,IF(N$111<=15,Lookups!$K12,IF(N$111<=20,Lookups!$M12,Lookups!$O12))))))]]></f>
        <v>0.4</v>
      </c>
      <c r="N120" s="36">
        <f><![CDATA[IF(N$111<=3,Lookups!$D12,IF(N$111<=4,Lookups!$F12,IF(N$111<=5,Lookups!$H12,IF(N$111<=10,$J12,IF(N$111<=15,Lookups!$L12,IF(N$111<=20,Lookups!$N12,Lookups!$P12))))))]]></f>
        <v>0</v>
      </c>
      <c r="O120" s="20">
        <f><![CDATA[IF($P$111<=3,Lookups!$C12,IF(P$111<=4,Lookups!$E12,IF(P$111<=5,Lookups!$G12,IF(P$111<=10,$I12,IF(P$111<=15,Lookups!$K12,IF(P$111<=20,Lookups!$M12,Lookups!$O12))))))]]></f>
        <v>0.4</v>
      </c>
      <c r="P120" s="36">
        <f><![CDATA[IF(P$111<=3,Lookups!$D12,IF(P$111<=4,Lookups!$F12,IF(P$111<=5,Lookups!$H12,IF(P$111<=10,$J12,IF(P$111<=15,Lookups!$L12,IF(P$111<=20,Lookups!$N12,Lookups!$P12))))))]]></f>
        <v>0</v>
      </c>
    </row>
    <row r="121" spans="2:18" x14ac:dyDescent="0.25">
      <c r="B121" s="18">
        <v>700000</v>
      </c>
      <c r="C121" s="20">
        <f><![CDATA[IF($D$111<=3,Lookups!$C13,IF(D$111<=4,Lookups!$E13,IF(D$111<=5,Lookups!$G13,IF(D$111<=10,$I13,IF(D$111<=15,Lookups!$K13,IF(D$111<=20,Lookups!$M13,Lookups!$O13))))))]]></f>
        <v>0.4</v>
      </c>
      <c r="D121" s="36">
        <f><![CDATA[IF(D$111<=3,Lookups!$D13,IF(D$111<=4,Lookups!$F13,IF(D$111<=5,Lookups!$H13,IF(D$111<=10,$J13,IF(D$111<=15,Lookups!$L13,IF(D$111<=20,Lookups!$N13,Lookups!$P13))))))]]></f>
        <v>0</v>
      </c>
      <c r="E121" s="20">
        <f><![CDATA[IF($F$111<=3,Lookups!$C13,IF(F$111<=4,Lookups!$E13,IF(F$111<=5,Lookups!$G13,IF(F$111<=10,$I13,IF(F$111<=15,Lookups!$K13,IF(F$111<=20,Lookups!$M13,Lookups!$O13))))))]]></f>
        <v>0.4</v>
      </c>
      <c r="F121" s="36">
        <f><![CDATA[IF(F$111<=3,Lookups!$D13,IF(F$111<=4,Lookups!$F13,IF(F$111<=5,Lookups!$H13,IF(F$111<=10,$J13,IF(F$111<=15,Lookups!$L13,IF(F$111<=20,Lookups!$N13,Lookups!$P13))))))]]></f>
        <v>0</v>
      </c>
      <c r="G121" s="20">
        <f><![CDATA[IF($H$111<=3,Lookups!$C13,IF(H$111<=4,Lookups!$E13,IF(H$111<=5,Lookups!$G13,IF(H$111<=10,$I13,IF(H$111<=15,Lookups!$K13,IF(H$111<=20,Lookups!$M13,Lookups!$O13))))))]]></f>
        <v>0.4</v>
      </c>
      <c r="H121" s="36">
        <f><![CDATA[IF(H$111<=3,Lookups!$D13,IF(H$111<=4,Lookups!$F13,IF(H$111<=5,Lookups!$H13,IF(H$111<=10,$J13,IF(H$111<=15,Lookups!$L13,IF(H$111<=20,Lookups!$N13,Lookups!$P13))))))]]></f>
        <v>0</v>
      </c>
      <c r="I121" s="20">
        <f><![CDATA[IF($J$111<=3,Lookups!$C13,IF(J$111<=4,Lookups!$E13,IF(J$111<=5,Lookups!$G13,IF(J$111<=10,$I13,IF(J$111<=15,Lookups!$K13,IF(J$111<=20,Lookups!$M13,Lookups!$O13))))))]]></f>
        <v>0.4</v>
      </c>
      <c r="J121" s="36">
        <f><![CDATA[IF(J$111<=3,Lookups!$D13,IF(J$111<=4,Lookups!$F13,IF(J$111<=5,Lookups!$H13,IF(J$111<=10,$J13,IF(J$111<=15,Lookups!$L13,IF(J$111<=20,Lookups!$N13,Lookups!$P13))))))]]></f>
        <v>0</v>
      </c>
      <c r="K121" s="20">
        <f><![CDATA[IF($L$111<=3,Lookups!$C13,IF(L$111<=4,Lookups!$E13,IF(L$111<=5,Lookups!$G13,IF(L$111<=10,$I13,IF(L$111<=15,Lookups!$K13,IF(L$111<=20,Lookups!$M13,Lookups!$O13))))))]]></f>
        <v>0.4</v>
      </c>
      <c r="L121" s="36">
        <f><![CDATA[IF(L$111<=3,Lookups!$D13,IF(L$111<=4,Lookups!$F13,IF(L$111<=5,Lookups!$H13,IF(L$111<=10,$J13,IF(L$111<=15,Lookups!$L13,IF(L$111<=20,Lookups!$N13,Lookups!$P13))))))]]></f>
        <v>0</v>
      </c>
      <c r="M121" s="20">
        <f><![CDATA[IF($J$111<=3,Lookups!$C13,IF(N$111<=4,Lookups!$E13,IF(N$111<=5,Lookups!$G13,IF(N$111<=10,$I13,IF(N$111<=15,Lookups!$K13,IF(N$111<=20,Lookups!$M13,Lookups!$O13))))))]]></f>
        <v>0.4</v>
      </c>
      <c r="N121" s="36">
        <f><![CDATA[IF(N$111<=3,Lookups!$D13,IF(N$111<=4,Lookups!$F13,IF(N$111<=5,Lookups!$H13,IF(N$111<=10,$J13,IF(N$111<=15,Lookups!$L13,IF(N$111<=20,Lookups!$N13,Lookups!$P13))))))]]></f>
        <v>0</v>
      </c>
      <c r="O121" s="20">
        <f><![CDATA[IF($P$111<=3,Lookups!$C13,IF(P$111<=4,Lookups!$E13,IF(P$111<=5,Lookups!$G13,IF(P$111<=10,$I13,IF(P$111<=15,Lookups!$K13,IF(P$111<=20,Lookups!$M13,Lookups!$O13))))))]]></f>
        <v>0.4</v>
      </c>
      <c r="P121" s="36">
        <f><![CDATA[IF(P$111<=3,Lookups!$D13,IF(P$111<=4,Lookups!$F13,IF(P$111<=5,Lookups!$H13,IF(P$111<=10,$J13,IF(P$111<=15,Lookups!$L13,IF(P$111<=20,Lookups!$N13,Lookups!$P13))))))]]></f>
        <v>0</v>
      </c>
    </row>
    <row r="122" spans="2:18" x14ac:dyDescent="0.25">
      <c r="B122" s="18">
        <v>800000</v>
      </c>
      <c r="C122" s="20">
        <f><![CDATA[IF($D$111<=3,Lookups!$C14,IF(D$111<=4,Lookups!$E14,IF(D$111<=5,Lookups!$G14,IF(D$111<=10,$I14,IF(D$111<=15,Lookups!$K14,IF(D$111<=20,Lookups!$M14,Lookups!$O14))))))]]></f>
        <v>0.4</v>
      </c>
      <c r="D122" s="36">
        <f><![CDATA[IF(D$111<=3,Lookups!$D14,IF(D$111<=4,Lookups!$F14,IF(D$111<=5,Lookups!$H14,IF(D$111<=10,$J14,IF(D$111<=15,Lookups!$L14,IF(D$111<=20,Lookups!$N14,Lookups!$P14))))))]]></f>
        <v>0</v>
      </c>
      <c r="E122" s="20">
        <f><![CDATA[IF($F$111<=3,Lookups!$C14,IF(F$111<=4,Lookups!$E14,IF(F$111<=5,Lookups!$G14,IF(F$111<=10,$I14,IF(F$111<=15,Lookups!$K14,IF(F$111<=20,Lookups!$M14,Lookups!$O14))))))]]></f>
        <v>0.4</v>
      </c>
      <c r="F122" s="36">
        <f><![CDATA[IF(F$111<=3,Lookups!$D14,IF(F$111<=4,Lookups!$F14,IF(F$111<=5,Lookups!$H14,IF(F$111<=10,$J14,IF(F$111<=15,Lookups!$L14,IF(F$111<=20,Lookups!$N14,Lookups!$P14))))))]]></f>
        <v>0</v>
      </c>
      <c r="G122" s="20">
        <f><![CDATA[IF($H$111<=3,Lookups!$C14,IF(H$111<=4,Lookups!$E14,IF(H$111<=5,Lookups!$G14,IF(H$111<=10,$I14,IF(H$111<=15,Lookups!$K14,IF(H$111<=20,Lookups!$M14,Lookups!$O14))))))]]></f>
        <v>0.4</v>
      </c>
      <c r="H122" s="36">
        <f><![CDATA[IF(H$111<=3,Lookups!$D14,IF(H$111<=4,Lookups!$F14,IF(H$111<=5,Lookups!$H14,IF(H$111<=10,$J14,IF(H$111<=15,Lookups!$L14,IF(H$111<=20,Lookups!$N14,Lookups!$P14))))))]]></f>
        <v>0</v>
      </c>
      <c r="I122" s="20">
        <f><![CDATA[IF($J$111<=3,Lookups!$C14,IF(J$111<=4,Lookups!$E14,IF(J$111<=5,Lookups!$G14,IF(J$111<=10,$I14,IF(J$111<=15,Lookups!$K14,IF(J$111<=20,Lookups!$M14,Lookups!$O14))))))]]></f>
        <v>0.4</v>
      </c>
      <c r="J122" s="36">
        <f><![CDATA[IF(J$111<=3,Lookups!$D14,IF(J$111<=4,Lookups!$F14,IF(J$111<=5,Lookups!$H14,IF(J$111<=10,$J14,IF(J$111<=15,Lookups!$L14,IF(J$111<=20,Lookups!$N14,Lookups!$P14))))))]]></f>
        <v>0</v>
      </c>
      <c r="K122" s="20">
        <f><![CDATA[IF($L$111<=3,Lookups!$C14,IF(L$111<=4,Lookups!$E14,IF(L$111<=5,Lookups!$G14,IF(L$111<=10,$I14,IF(L$111<=15,Lookups!$K14,IF(L$111<=20,Lookups!$M14,Lookups!$O14))))))]]></f>
        <v>0.4</v>
      </c>
      <c r="L122" s="36">
        <f><![CDATA[IF(L$111<=3,Lookups!$D14,IF(L$111<=4,Lookups!$F14,IF(L$111<=5,Lookups!$H14,IF(L$111<=10,$J14,IF(L$111<=15,Lookups!$L14,IF(L$111<=20,Lookups!$N14,Lookups!$P14))))))]]></f>
        <v>0</v>
      </c>
      <c r="M122" s="20">
        <f><![CDATA[IF($J$111<=3,Lookups!$C14,IF(N$111<=4,Lookups!$E14,IF(N$111<=5,Lookups!$G14,IF(N$111<=10,$I14,IF(N$111<=15,Lookups!$K14,IF(N$111<=20,Lookups!$M14,Lookups!$O14))))))]]></f>
        <v>0.4</v>
      </c>
      <c r="N122" s="36">
        <f><![CDATA[IF(N$111<=3,Lookups!$D14,IF(N$111<=4,Lookups!$F14,IF(N$111<=5,Lookups!$H14,IF(N$111<=10,$J14,IF(N$111<=15,Lookups!$L14,IF(N$111<=20,Lookups!$N14,Lookups!$P14))))))]]></f>
        <v>0</v>
      </c>
      <c r="O122" s="20">
        <f><![CDATA[IF($P$111<=3,Lookups!$C14,IF(P$111<=4,Lookups!$E14,IF(P$111<=5,Lookups!$G14,IF(P$111<=10,$I14,IF(P$111<=15,Lookups!$K14,IF(P$111<=20,Lookups!$M14,Lookups!$O14))))))]]></f>
        <v>0.4</v>
      </c>
      <c r="P122" s="36">
        <f><![CDATA[IF(P$111<=3,Lookups!$D14,IF(P$111<=4,Lookups!$F14,IF(P$111<=5,Lookups!$H14,IF(P$111<=10,$J14,IF(P$111<=15,Lookups!$L14,IF(P$111<=20,Lookups!$N14,Lookups!$P14))))))]]></f>
        <v>0</v>
      </c>
    </row>
    <row r="123" spans="2:18" x14ac:dyDescent="0.25">
      <c r="B123" s="18">
        <v>900000</v>
      </c>
      <c r="C123" s="20">
        <f><![CDATA[IF($D$111<=3,Lookups!$C15,IF(D$111<=4,Lookups!$E15,IF(D$111<=5,Lookups!$G15,IF(D$111<=10,$I15,IF(D$111<=15,Lookups!$K15,IF(D$111<=20,Lookups!$M15,Lookups!$O15))))))]]></f>
        <v>0.4</v>
      </c>
      <c r="D123" s="36">
        <f><![CDATA[IF(D$111<=3,Lookups!$D15,IF(D$111<=4,Lookups!$F15,IF(D$111<=5,Lookups!$H15,IF(D$111<=10,$J15,IF(D$111<=15,Lookups!$L15,IF(D$111<=20,Lookups!$N15,Lookups!$P15))))))]]></f>
        <v>0</v>
      </c>
      <c r="E123" s="20">
        <f><![CDATA[IF($F$111<=3,Lookups!$C15,IF(F$111<=4,Lookups!$E15,IF(F$111<=5,Lookups!$G15,IF(F$111<=10,$I15,IF(F$111<=15,Lookups!$K15,IF(F$111<=20,Lookups!$M15,Lookups!$O15))))))]]></f>
        <v>0.4</v>
      </c>
      <c r="F123" s="36">
        <f><![CDATA[IF(F$111<=3,Lookups!$D15,IF(F$111<=4,Lookups!$F15,IF(F$111<=5,Lookups!$H15,IF(F$111<=10,$J15,IF(F$111<=15,Lookups!$L15,IF(F$111<=20,Lookups!$N15,Lookups!$P15))))))]]></f>
        <v>0</v>
      </c>
      <c r="G123" s="20">
        <f><![CDATA[IF($H$111<=3,Lookups!$C15,IF(H$111<=4,Lookups!$E15,IF(H$111<=5,Lookups!$G15,IF(H$111<=10,$I15,IF(H$111<=15,Lookups!$K15,IF(H$111<=20,Lookups!$M15,Lookups!$O15))))))]]></f>
        <v>0.4</v>
      </c>
      <c r="H123" s="36">
        <f><![CDATA[IF(H$111<=3,Lookups!$D15,IF(H$111<=4,Lookups!$F15,IF(H$111<=5,Lookups!$H15,IF(H$111<=10,$J15,IF(H$111<=15,Lookups!$L15,IF(H$111<=20,Lookups!$N15,Lookups!$P15))))))]]></f>
        <v>0</v>
      </c>
      <c r="I123" s="20">
        <f><![CDATA[IF($J$111<=3,Lookups!$C15,IF(J$111<=4,Lookups!$E15,IF(J$111<=5,Lookups!$G15,IF(J$111<=10,$I15,IF(J$111<=15,Lookups!$K15,IF(J$111<=20,Lookups!$M15,Lookups!$O15))))))]]></f>
        <v>0.4</v>
      </c>
      <c r="J123" s="36">
        <f><![CDATA[IF(J$111<=3,Lookups!$D15,IF(J$111<=4,Lookups!$F15,IF(J$111<=5,Lookups!$H15,IF(J$111<=10,$J15,IF(J$111<=15,Lookups!$L15,IF(J$111<=20,Lookups!$N15,Lookups!$P15))))))]]></f>
        <v>0</v>
      </c>
      <c r="K123" s="20">
        <f><![CDATA[IF($L$111<=3,Lookups!$C15,IF(L$111<=4,Lookups!$E15,IF(L$111<=5,Lookups!$G15,IF(L$111<=10,$I15,IF(L$111<=15,Lookups!$K15,IF(L$111<=20,Lookups!$M15,Lookups!$O15))))))]]></f>
        <v>0.4</v>
      </c>
      <c r="L123" s="36">
        <f><![CDATA[IF(L$111<=3,Lookups!$D15,IF(L$111<=4,Lookups!$F15,IF(L$111<=5,Lookups!$H15,IF(L$111<=10,$J15,IF(L$111<=15,Lookups!$L15,IF(L$111<=20,Lookups!$N15,Lookups!$P15))))))]]></f>
        <v>0</v>
      </c>
      <c r="M123" s="20">
        <f><![CDATA[IF($J$111<=3,Lookups!$C15,IF(N$111<=4,Lookups!$E15,IF(N$111<=5,Lookups!$G15,IF(N$111<=10,$I15,IF(N$111<=15,Lookups!$K15,IF(N$111<=20,Lookups!$M15,Lookups!$O15))))))]]></f>
        <v>0.4</v>
      </c>
      <c r="N123" s="36">
        <f><![CDATA[IF(N$111<=3,Lookups!$D15,IF(N$111<=4,Lookups!$F15,IF(N$111<=5,Lookups!$H15,IF(N$111<=10,$J15,IF(N$111<=15,Lookups!$L15,IF(N$111<=20,Lookups!$N15,Lookups!$P15))))))]]></f>
        <v>0</v>
      </c>
      <c r="O123" s="20">
        <f><![CDATA[IF($P$111<=3,Lookups!$C15,IF(P$111<=4,Lookups!$E15,IF(P$111<=5,Lookups!$G15,IF(P$111<=10,$I15,IF(P$111<=15,Lookups!$K15,IF(P$111<=20,Lookups!$M15,Lookups!$O15))))))]]></f>
        <v>0.4</v>
      </c>
      <c r="P123" s="36">
        <f><![CDATA[IF(P$111<=3,Lookups!$D15,IF(P$111<=4,Lookups!$F15,IF(P$111<=5,Lookups!$H15,IF(P$111<=10,$J15,IF(P$111<=15,Lookups!$L15,IF(P$111<=20,Lookups!$N15,Lookups!$P15))))))]]></f>
        <v>0</v>
      </c>
    </row>
    <row r="124" spans="2:18" x14ac:dyDescent="0.25">
      <c r="B124" s="18">
        <v>1000000</v>
      </c>
      <c r="C124" s="20">
        <f><![CDATA[IF($D$111<=3,Lookups!$C16,IF(D$111<=4,Lookups!$E16,IF(D$111<=5,Lookups!$G16,IF(D$111<=10,$I16,IF(D$111<=15,Lookups!$K16,IF(D$111<=20,Lookups!$M16,Lookups!$O16))))))]]></f>
        <v>0.4</v>
      </c>
      <c r="D124" s="36">
        <f><![CDATA[IF(D$111<=3,Lookups!$D16,IF(D$111<=4,Lookups!$F16,IF(D$111<=5,Lookups!$H16,IF(D$111<=10,$J16,IF(D$111<=15,Lookups!$L16,IF(D$111<=20,Lookups!$N16,Lookups!$P16))))))]]></f>
        <v>0</v>
      </c>
      <c r="E124" s="20">
        <f><![CDATA[IF($F$111<=3,Lookups!$C16,IF(F$111<=4,Lookups!$E16,IF(F$111<=5,Lookups!$G16,IF(F$111<=10,$I16,IF(F$111<=15,Lookups!$K16,IF(F$111<=20,Lookups!$M16,Lookups!$O16))))))]]></f>
        <v>0.4</v>
      </c>
      <c r="F124" s="36">
        <f><![CDATA[IF(F$111<=3,Lookups!$D16,IF(F$111<=4,Lookups!$F16,IF(F$111<=5,Lookups!$H16,IF(F$111<=10,$J16,IF(F$111<=15,Lookups!$L16,IF(F$111<=20,Lookups!$N16,Lookups!$P16))))))]]></f>
        <v>0</v>
      </c>
      <c r="G124" s="20">
        <f><![CDATA[IF($H$111<=3,Lookups!$C16,IF(H$111<=4,Lookups!$E16,IF(H$111<=5,Lookups!$G16,IF(H$111<=10,$I16,IF(H$111<=15,Lookups!$K16,IF(H$111<=20,Lookups!$M16,Lookups!$O16))))))]]></f>
        <v>0.4</v>
      </c>
      <c r="H124" s="36">
        <f><![CDATA[IF(H$111<=3,Lookups!$D16,IF(H$111<=4,Lookups!$F16,IF(H$111<=5,Lookups!$H16,IF(H$111<=10,$J16,IF(H$111<=15,Lookups!$L16,IF(H$111<=20,Lookups!$N16,Lookups!$P16))))))]]></f>
        <v>0</v>
      </c>
      <c r="I124" s="20">
        <f><![CDATA[IF($J$111<=3,Lookups!$C16,IF(J$111<=4,Lookups!$E16,IF(J$111<=5,Lookups!$G16,IF(J$111<=10,$I16,IF(J$111<=15,Lookups!$K16,IF(J$111<=20,Lookups!$M16,Lookups!$O16))))))]]></f>
        <v>0.4</v>
      </c>
      <c r="J124" s="36">
        <f><![CDATA[IF(J$111<=3,Lookups!$D16,IF(J$111<=4,Lookups!$F16,IF(J$111<=5,Lookups!$H16,IF(J$111<=10,$J16,IF(J$111<=15,Lookups!$L16,IF(J$111<=20,Lookups!$N16,Lookups!$P16))))))]]></f>
        <v>0</v>
      </c>
      <c r="K124" s="20">
        <f><![CDATA[IF($L$111<=3,Lookups!$C16,IF(L$111<=4,Lookups!$E16,IF(L$111<=5,Lookups!$G16,IF(L$111<=10,$I16,IF(L$111<=15,Lookups!$K16,IF(L$111<=20,Lookups!$M16,Lookups!$O16))))))]]></f>
        <v>0.4</v>
      </c>
      <c r="L124" s="36">
        <f><![CDATA[IF(L$111<=3,Lookups!$D16,IF(L$111<=4,Lookups!$F16,IF(L$111<=5,Lookups!$H16,IF(L$111<=10,$J16,IF(L$111<=15,Lookups!$L16,IF(L$111<=20,Lookups!$N16,Lookups!$P16))))))]]></f>
        <v>0</v>
      </c>
      <c r="M124" s="20">
        <f><![CDATA[IF($J$111<=3,Lookups!$C16,IF(N$111<=4,Lookups!$E16,IF(N$111<=5,Lookups!$G16,IF(N$111<=10,$I16,IF(N$111<=15,Lookups!$K16,IF(N$111<=20,Lookups!$M16,Lookups!$O16))))))]]></f>
        <v>0.4</v>
      </c>
      <c r="N124" s="36">
        <f><![CDATA[IF(N$111<=3,Lookups!$D16,IF(N$111<=4,Lookups!$F16,IF(N$111<=5,Lookups!$H16,IF(N$111<=10,$J16,IF(N$111<=15,Lookups!$L16,IF(N$111<=20,Lookups!$N16,Lookups!$P16))))))]]></f>
        <v>0</v>
      </c>
      <c r="O124" s="20">
        <f><![CDATA[IF($P$111<=3,Lookups!$C16,IF(P$111<=4,Lookups!$E16,IF(P$111<=5,Lookups!$G16,IF(P$111<=10,$I16,IF(P$111<=15,Lookups!$K16,IF(P$111<=20,Lookups!$M16,Lookups!$O16))))))]]></f>
        <v>0.4</v>
      </c>
      <c r="P124" s="36">
        <f><![CDATA[IF(P$111<=3,Lookups!$D16,IF(P$111<=4,Lookups!$F16,IF(P$111<=5,Lookups!$H16,IF(P$111<=10,$J16,IF(P$111<=15,Lookups!$L16,IF(P$111<=20,Lookups!$N16,Lookups!$P16))))))]]></f>
        <v>0</v>
      </c>
    </row>
    <row r="125" spans="2:18" x14ac:dyDescent="0.25">
      <c r="B125" s="18">
        <v>1100000</v>
      </c>
      <c r="C125" s="20">
        <f><![CDATA[IF($D$111<=3,Lookups!$C17,IF(D$111<=4,Lookups!$E17,IF(D$111<=5,Lookups!$G17,IF(D$111<=10,$I17,IF(D$111<=15,Lookups!$K17,IF(D$111<=20,Lookups!$M17,Lookups!$O17))))))]]></f>
        <v>0.4</v>
      </c>
      <c r="D125" s="36">
        <f><![CDATA[IF(D$111<=3,Lookups!$D17,IF(D$111<=4,Lookups!$F17,IF(D$111<=5,Lookups!$H17,IF(D$111<=10,$J17,IF(D$111<=15,Lookups!$L17,IF(D$111<=20,Lookups!$N17,Lookups!$P17))))))]]></f>
        <v>0.01</v>
      </c>
      <c r="E125" s="20">
        <f><![CDATA[IF($F$111<=3,Lookups!$C17,IF(F$111<=4,Lookups!$E17,IF(F$111<=5,Lookups!$G17,IF(F$111<=10,$I17,IF(F$111<=15,Lookups!$K17,IF(F$111<=20,Lookups!$M17,Lookups!$O17))))))]]></f>
        <v>0.4</v>
      </c>
      <c r="F125" s="36">
        <f><![CDATA[IF(F$111<=3,Lookups!$D17,IF(F$111<=4,Lookups!$F17,IF(F$111<=5,Lookups!$H17,IF(F$111<=10,$J17,IF(F$111<=15,Lookups!$L17,IF(F$111<=20,Lookups!$N17,Lookups!$P17))))))]]></f>
        <v>0.01</v>
      </c>
      <c r="G125" s="20">
        <f><![CDATA[IF($H$111<=3,Lookups!$C17,IF(H$111<=4,Lookups!$E17,IF(H$111<=5,Lookups!$G17,IF(H$111<=10,$I17,IF(H$111<=15,Lookups!$K17,IF(H$111<=20,Lookups!$M17,Lookups!$O17))))))]]></f>
        <v>0.4</v>
      </c>
      <c r="H125" s="36">
        <f><![CDATA[IF(H$111<=3,Lookups!$D17,IF(H$111<=4,Lookups!$F17,IF(H$111<=5,Lookups!$H17,IF(H$111<=10,$J17,IF(H$111<=15,Lookups!$L17,IF(H$111<=20,Lookups!$N17,Lookups!$P17))))))]]></f>
        <v>0.01</v>
      </c>
      <c r="I125" s="20">
        <f><![CDATA[IF($J$111<=3,Lookups!$C17,IF(J$111<=4,Lookups!$E17,IF(J$111<=5,Lookups!$G17,IF(J$111<=10,$I17,IF(J$111<=15,Lookups!$K17,IF(J$111<=20,Lookups!$M17,Lookups!$O17))))))]]></f>
        <v>0.4</v>
      </c>
      <c r="J125" s="36">
        <f><![CDATA[IF(J$111<=3,Lookups!$D17,IF(J$111<=4,Lookups!$F17,IF(J$111<=5,Lookups!$H17,IF(J$111<=10,$J17,IF(J$111<=15,Lookups!$L17,IF(J$111<=20,Lookups!$N17,Lookups!$P17))))))]]></f>
        <v>0.01</v>
      </c>
      <c r="K125" s="20">
        <f><![CDATA[IF($L$111<=3,Lookups!$C17,IF(L$111<=4,Lookups!$E17,IF(L$111<=5,Lookups!$G17,IF(L$111<=10,$I17,IF(L$111<=15,Lookups!$K17,IF(L$111<=20,Lookups!$M17,Lookups!$O17))))))]]></f>
        <v>0.4</v>
      </c>
      <c r="L125" s="36">
        <f><![CDATA[IF(L$111<=3,Lookups!$D17,IF(L$111<=4,Lookups!$F17,IF(L$111<=5,Lookups!$H17,IF(L$111<=10,$J17,IF(L$111<=15,Lookups!$L17,IF(L$111<=20,Lookups!$N17,Lookups!$P17))))))]]></f>
        <v>0.01</v>
      </c>
      <c r="M125" s="20">
        <f><![CDATA[IF($J$111<=3,Lookups!$C17,IF(N$111<=4,Lookups!$E17,IF(N$111<=5,Lookups!$G17,IF(N$111<=10,$I17,IF(N$111<=15,Lookups!$K17,IF(N$111<=20,Lookups!$M17,Lookups!$O17))))))]]></f>
        <v>0.4</v>
      </c>
      <c r="N125" s="36">
        <f><![CDATA[IF(N$111<=3,Lookups!$D17,IF(N$111<=4,Lookups!$F17,IF(N$111<=5,Lookups!$H17,IF(N$111<=10,$J17,IF(N$111<=15,Lookups!$L17,IF(N$111<=20,Lookups!$N17,Lookups!$P17))))))]]></f>
        <v>0.01</v>
      </c>
      <c r="O125" s="20">
        <f><![CDATA[IF($P$111<=3,Lookups!$C17,IF(P$111<=4,Lookups!$E17,IF(P$111<=5,Lookups!$G17,IF(P$111<=10,$I17,IF(P$111<=15,Lookups!$K17,IF(P$111<=20,Lookups!$M17,Lookups!$O17))))))]]></f>
        <v>0.4</v>
      </c>
      <c r="P125" s="36">
        <f><![CDATA[IF(P$111<=3,Lookups!$D17,IF(P$111<=4,Lookups!$F17,IF(P$111<=5,Lookups!$H17,IF(P$111<=10,$J17,IF(P$111<=15,Lookups!$L17,IF(P$111<=20,Lookups!$N17,Lookups!$P17))))))]]></f>
        <v>0.01</v>
      </c>
    </row>
    <row r="126" spans="2:18" x14ac:dyDescent="0.25">
      <c r="B126" s="18">
        <v>1200000</v>
      </c>
      <c r="C126" s="20">
        <f><![CDATA[IF($D$111<=3,Lookups!$C18,IF(D$111<=4,Lookups!$E18,IF(D$111<=5,Lookups!$G18,IF(D$111<=10,$I18,IF(D$111<=15,Lookups!$K18,IF(D$111<=20,Lookups!$M18,Lookups!$O18))))))]]></f>
        <v>0.4</v>
      </c>
      <c r="D126" s="36">
        <f><![CDATA[IF(D$111<=3,Lookups!$D18,IF(D$111<=4,Lookups!$F18,IF(D$111<=5,Lookups!$H18,IF(D$111<=10,$J18,IF(D$111<=15,Lookups!$L18,IF(D$111<=20,Lookups!$N18,Lookups!$P18))))))]]></f>
        <v>0.01</v>
      </c>
      <c r="E126" s="20">
        <f><![CDATA[IF($F$111<=3,Lookups!$C18,IF(F$111<=4,Lookups!$E18,IF(F$111<=5,Lookups!$G18,IF(F$111<=10,$I18,IF(F$111<=15,Lookups!$K18,IF(F$111<=20,Lookups!$M18,Lookups!$O18))))))]]></f>
        <v>0.4</v>
      </c>
      <c r="F126" s="36">
        <f><![CDATA[IF(F$111<=3,Lookups!$D18,IF(F$111<=4,Lookups!$F18,IF(F$111<=5,Lookups!$H18,IF(F$111<=10,$J18,IF(F$111<=15,Lookups!$L18,IF(F$111<=20,Lookups!$N18,Lookups!$P18))))))]]></f>
        <v>0.01</v>
      </c>
      <c r="G126" s="20">
        <f><![CDATA[IF($H$111<=3,Lookups!$C18,IF(H$111<=4,Lookups!$E18,IF(H$111<=5,Lookups!$G18,IF(H$111<=10,$I18,IF(H$111<=15,Lookups!$K18,IF(H$111<=20,Lookups!$M18,Lookups!$O18))))))]]></f>
        <v>0.4</v>
      </c>
      <c r="H126" s="36">
        <f><![CDATA[IF(H$111<=3,Lookups!$D18,IF(H$111<=4,Lookups!$F18,IF(H$111<=5,Lookups!$H18,IF(H$111<=10,$J18,IF(H$111<=15,Lookups!$L18,IF(H$111<=20,Lookups!$N18,Lookups!$P18))))))]]></f>
        <v>0.01</v>
      </c>
      <c r="I126" s="20">
        <f><![CDATA[IF($J$111<=3,Lookups!$C18,IF(J$111<=4,Lookups!$E18,IF(J$111<=5,Lookups!$G18,IF(J$111<=10,$I18,IF(J$111<=15,Lookups!$K18,IF(J$111<=20,Lookups!$M18,Lookups!$O18))))))]]></f>
        <v>0.4</v>
      </c>
      <c r="J126" s="36">
        <f><![CDATA[IF(J$111<=3,Lookups!$D18,IF(J$111<=4,Lookups!$F18,IF(J$111<=5,Lookups!$H18,IF(J$111<=10,$J18,IF(J$111<=15,Lookups!$L18,IF(J$111<=20,Lookups!$N18,Lookups!$P18))))))]]></f>
        <v>0.01</v>
      </c>
      <c r="K126" s="20">
        <f><![CDATA[IF($L$111<=3,Lookups!$C18,IF(L$111<=4,Lookups!$E18,IF(L$111<=5,Lookups!$G18,IF(L$111<=10,$I18,IF(L$111<=15,Lookups!$K18,IF(L$111<=20,Lookups!$M18,Lookups!$O18))))))]]></f>
        <v>0.4</v>
      </c>
      <c r="L126" s="36">
        <f><![CDATA[IF(L$111<=3,Lookups!$D18,IF(L$111<=4,Lookups!$F18,IF(L$111<=5,Lookups!$H18,IF(L$111<=10,$J18,IF(L$111<=15,Lookups!$L18,IF(L$111<=20,Lookups!$N18,Lookups!$P18))))))]]></f>
        <v>0.01</v>
      </c>
      <c r="M126" s="20">
        <f><![CDATA[IF($J$111<=3,Lookups!$C18,IF(N$111<=4,Lookups!$E18,IF(N$111<=5,Lookups!$G18,IF(N$111<=10,$I18,IF(N$111<=15,Lookups!$K18,IF(N$111<=20,Lookups!$M18,Lookups!$O18))))))]]></f>
        <v>0.4</v>
      </c>
      <c r="N126" s="36">
        <f><![CDATA[IF(N$111<=3,Lookups!$D18,IF(N$111<=4,Lookups!$F18,IF(N$111<=5,Lookups!$H18,IF(N$111<=10,$J18,IF(N$111<=15,Lookups!$L18,IF(N$111<=20,Lookups!$N18,Lookups!$P18))))))]]></f>
        <v>0.01</v>
      </c>
      <c r="O126" s="20">
        <f><![CDATA[IF($P$111<=3,Lookups!$C18,IF(P$111<=4,Lookups!$E18,IF(P$111<=5,Lookups!$G18,IF(P$111<=10,$I18,IF(P$111<=15,Lookups!$K18,IF(P$111<=20,Lookups!$M18,Lookups!$O18))))))]]></f>
        <v>0.4</v>
      </c>
      <c r="P126" s="36">
        <f><![CDATA[IF(P$111<=3,Lookups!$D18,IF(P$111<=4,Lookups!$F18,IF(P$111<=5,Lookups!$H18,IF(P$111<=10,$J18,IF(P$111<=15,Lookups!$L18,IF(P$111<=20,Lookups!$N18,Lookups!$P18))))))]]></f>
        <v>0.01</v>
      </c>
    </row>
    <row r="127" spans="2:18" x14ac:dyDescent="0.25">
      <c r="B127" s="18">
        <v>1300000</v>
      </c>
      <c r="C127" s="20">
        <f><![CDATA[IF($D$111<=3,Lookups!$C19,IF(D$111<=4,Lookups!$E19,IF(D$111<=5,Lookups!$G19,IF(D$111<=10,$I19,IF(D$111<=15,Lookups!$K19,IF(D$111<=20,Lookups!$M19,Lookups!$O19))))))]]></f>
        <v>0.4</v>
      </c>
      <c r="D127" s="36">
        <f><![CDATA[IF(D$111<=3,Lookups!$D19,IF(D$111<=4,Lookups!$F19,IF(D$111<=5,Lookups!$H19,IF(D$111<=10,$J19,IF(D$111<=15,Lookups!$L19,IF(D$111<=20,Lookups!$N19,Lookups!$P19))))))]]></f>
        <v>0.01</v>
      </c>
      <c r="E127" s="20">
        <f><![CDATA[IF($F$111<=3,Lookups!$C19,IF(F$111<=4,Lookups!$E19,IF(F$111<=5,Lookups!$G19,IF(F$111<=10,$I19,IF(F$111<=15,Lookups!$K19,IF(F$111<=20,Lookups!$M19,Lookups!$O19))))))]]></f>
        <v>0.4</v>
      </c>
      <c r="F127" s="36">
        <f><![CDATA[IF(F$111<=3,Lookups!$D19,IF(F$111<=4,Lookups!$F19,IF(F$111<=5,Lookups!$H19,IF(F$111<=10,$J19,IF(F$111<=15,Lookups!$L19,IF(F$111<=20,Lookups!$N19,Lookups!$P19))))))]]></f>
        <v>0.01</v>
      </c>
      <c r="G127" s="20">
        <f><![CDATA[IF($H$111<=3,Lookups!$C19,IF(H$111<=4,Lookups!$E19,IF(H$111<=5,Lookups!$G19,IF(H$111<=10,$I19,IF(H$111<=15,Lookups!$K19,IF(H$111<=20,Lookups!$M19,Lookups!$O19))))))]]></f>
        <v>0.4</v>
      </c>
      <c r="H127" s="36">
        <f><![CDATA[IF(H$111<=3,Lookups!$D19,IF(H$111<=4,Lookups!$F19,IF(H$111<=5,Lookups!$H19,IF(H$111<=10,$J19,IF(H$111<=15,Lookups!$L19,IF(H$111<=20,Lookups!$N19,Lookups!$P19))))))]]></f>
        <v>0.01</v>
      </c>
      <c r="I127" s="20">
        <f><![CDATA[IF($J$111<=3,Lookups!$C19,IF(J$111<=4,Lookups!$E19,IF(J$111<=5,Lookups!$G19,IF(J$111<=10,$I19,IF(J$111<=15,Lookups!$K19,IF(J$111<=20,Lookups!$M19,Lookups!$O19))))))]]></f>
        <v>0.4</v>
      </c>
      <c r="J127" s="36">
        <f><![CDATA[IF(J$111<=3,Lookups!$D19,IF(J$111<=4,Lookups!$F19,IF(J$111<=5,Lookups!$H19,IF(J$111<=10,$J19,IF(J$111<=15,Lookups!$L19,IF(J$111<=20,Lookups!$N19,Lookups!$P19))))))]]></f>
        <v>0.01</v>
      </c>
      <c r="K127" s="20">
        <f><![CDATA[IF($L$111<=3,Lookups!$C19,IF(L$111<=4,Lookups!$E19,IF(L$111<=5,Lookups!$G19,IF(L$111<=10,$I19,IF(L$111<=15,Lookups!$K19,IF(L$111<=20,Lookups!$M19,Lookups!$O19))))))]]></f>
        <v>0.4</v>
      </c>
      <c r="L127" s="36">
        <f><![CDATA[IF(L$111<=3,Lookups!$D19,IF(L$111<=4,Lookups!$F19,IF(L$111<=5,Lookups!$H19,IF(L$111<=10,$J19,IF(L$111<=15,Lookups!$L19,IF(L$111<=20,Lookups!$N19,Lookups!$P19))))))]]></f>
        <v>0.01</v>
      </c>
      <c r="M127" s="20">
        <f><![CDATA[IF($J$111<=3,Lookups!$C19,IF(N$111<=4,Lookups!$E19,IF(N$111<=5,Lookups!$G19,IF(N$111<=10,$I19,IF(N$111<=15,Lookups!$K19,IF(N$111<=20,Lookups!$M19,Lookups!$O19))))))]]></f>
        <v>0.4</v>
      </c>
      <c r="N127" s="36">
        <f><![CDATA[IF(N$111<=3,Lookups!$D19,IF(N$111<=4,Lookups!$F19,IF(N$111<=5,Lookups!$H19,IF(N$111<=10,$J19,IF(N$111<=15,Lookups!$L19,IF(N$111<=20,Lookups!$N19,Lookups!$P19))))))]]></f>
        <v>0.01</v>
      </c>
      <c r="O127" s="20">
        <f><![CDATA[IF($P$111<=3,Lookups!$C19,IF(P$111<=4,Lookups!$E19,IF(P$111<=5,Lookups!$G19,IF(P$111<=10,$I19,IF(P$111<=15,Lookups!$K19,IF(P$111<=20,Lookups!$M19,Lookups!$O19))))))]]></f>
        <v>0.4</v>
      </c>
      <c r="P127" s="36">
        <f><![CDATA[IF(P$111<=3,Lookups!$D19,IF(P$111<=4,Lookups!$F19,IF(P$111<=5,Lookups!$H19,IF(P$111<=10,$J19,IF(P$111<=15,Lookups!$L19,IF(P$111<=20,Lookups!$N19,Lookups!$P19))))))]]></f>
        <v>0.01</v>
      </c>
    </row>
    <row r="128" spans="2:18" x14ac:dyDescent="0.25">
      <c r="B128" s="18">
        <v>1400000</v>
      </c>
      <c r="C128" s="20">
        <f><![CDATA[IF($D$111<=3,Lookups!$C20,IF(D$111<=4,Lookups!$E20,IF(D$111<=5,Lookups!$G20,IF(D$111<=10,$I20,IF(D$111<=15,Lookups!$K20,IF(D$111<=20,Lookups!$M20,Lookups!$O20))))))]]></f>
        <v>0.4</v>
      </c>
      <c r="D128" s="36">
        <f><![CDATA[IF(D$111<=3,Lookups!$D20,IF(D$111<=4,Lookups!$F20,IF(D$111<=5,Lookups!$H20,IF(D$111<=10,$J20,IF(D$111<=15,Lookups!$L20,IF(D$111<=20,Lookups!$N20,Lookups!$P20))))))]]></f>
        <v>0.01</v>
      </c>
      <c r="E128" s="20">
        <f><![CDATA[IF($F$111<=3,Lookups!$C20,IF(F$111<=4,Lookups!$E20,IF(F$111<=5,Lookups!$G20,IF(F$111<=10,$I20,IF(F$111<=15,Lookups!$K20,IF(F$111<=20,Lookups!$M20,Lookups!$O20))))))]]></f>
        <v>0.4</v>
      </c>
      <c r="F128" s="36">
        <f><![CDATA[IF(F$111<=3,Lookups!$D20,IF(F$111<=4,Lookups!$F20,IF(F$111<=5,Lookups!$H20,IF(F$111<=10,$J20,IF(F$111<=15,Lookups!$L20,IF(F$111<=20,Lookups!$N20,Lookups!$P20))))))]]></f>
        <v>0.01</v>
      </c>
      <c r="G128" s="20">
        <f><![CDATA[IF($H$111<=3,Lookups!$C20,IF(H$111<=4,Lookups!$E20,IF(H$111<=5,Lookups!$G20,IF(H$111<=10,$I20,IF(H$111<=15,Lookups!$K20,IF(H$111<=20,Lookups!$M20,Lookups!$O20))))))]]></f>
        <v>0.4</v>
      </c>
      <c r="H128" s="36">
        <f><![CDATA[IF(H$111<=3,Lookups!$D20,IF(H$111<=4,Lookups!$F20,IF(H$111<=5,Lookups!$H20,IF(H$111<=10,$J20,IF(H$111<=15,Lookups!$L20,IF(H$111<=20,Lookups!$N20,Lookups!$P20))))))]]></f>
        <v>0.01</v>
      </c>
      <c r="I128" s="20">
        <f><![CDATA[IF($J$111<=3,Lookups!$C20,IF(J$111<=4,Lookups!$E20,IF(J$111<=5,Lookups!$G20,IF(J$111<=10,$I20,IF(J$111<=15,Lookups!$K20,IF(J$111<=20,Lookups!$M20,Lookups!$O20))))))]]></f>
        <v>0.4</v>
      </c>
      <c r="J128" s="36">
        <f><![CDATA[IF(J$111<=3,Lookups!$D20,IF(J$111<=4,Lookups!$F20,IF(J$111<=5,Lookups!$H20,IF(J$111<=10,$J20,IF(J$111<=15,Lookups!$L20,IF(J$111<=20,Lookups!$N20,Lookups!$P20))))))]]></f>
        <v>0.01</v>
      </c>
      <c r="K128" s="20">
        <f><![CDATA[IF($L$111<=3,Lookups!$C20,IF(L$111<=4,Lookups!$E20,IF(L$111<=5,Lookups!$G20,IF(L$111<=10,$I20,IF(L$111<=15,Lookups!$K20,IF(L$111<=20,Lookups!$M20,Lookups!$O20))))))]]></f>
        <v>0.4</v>
      </c>
      <c r="L128" s="36">
        <f><![CDATA[IF(L$111<=3,Lookups!$D20,IF(L$111<=4,Lookups!$F20,IF(L$111<=5,Lookups!$H20,IF(L$111<=10,$J20,IF(L$111<=15,Lookups!$L20,IF(L$111<=20,Lookups!$N20,Lookups!$P20))))))]]></f>
        <v>0.01</v>
      </c>
      <c r="M128" s="20">
        <f><![CDATA[IF($J$111<=3,Lookups!$C20,IF(N$111<=4,Lookups!$E20,IF(N$111<=5,Lookups!$G20,IF(N$111<=10,$I20,IF(N$111<=15,Lookups!$K20,IF(N$111<=20,Lookups!$M20,Lookups!$O20))))))]]></f>
        <v>0.4</v>
      </c>
      <c r="N128" s="36">
        <f><![CDATA[IF(N$111<=3,Lookups!$D20,IF(N$111<=4,Lookups!$F20,IF(N$111<=5,Lookups!$H20,IF(N$111<=10,$J20,IF(N$111<=15,Lookups!$L20,IF(N$111<=20,Lookups!$N20,Lookups!$P20))))))]]></f>
        <v>0.01</v>
      </c>
      <c r="O128" s="20">
        <f><![CDATA[IF($P$111<=3,Lookups!$C20,IF(P$111<=4,Lookups!$E20,IF(P$111<=5,Lookups!$G20,IF(P$111<=10,$I20,IF(P$111<=15,Lookups!$K20,IF(P$111<=20,Lookups!$M20,Lookups!$O20))))))]]></f>
        <v>0.4</v>
      </c>
      <c r="P128" s="36">
        <f><![CDATA[IF(P$111<=3,Lookups!$D20,IF(P$111<=4,Lookups!$F20,IF(P$111<=5,Lookups!$H20,IF(P$111<=10,$J20,IF(P$111<=15,Lookups!$L20,IF(P$111<=20,Lookups!$N20,Lookups!$P20))))))]]></f>
        <v>0.01</v>
      </c>
    </row>
    <row r="129" spans="2:18" x14ac:dyDescent="0.25">
      <c r="B129" s="18">
        <v>1500000</v>
      </c>
      <c r="C129" s="20">
        <f><![CDATA[IF($D$111<=3,Lookups!$C21,IF(D$111<=4,Lookups!$E21,IF(D$111<=5,Lookups!$G21,IF(D$111<=10,$I21,IF(D$111<=15,Lookups!$K21,IF(D$111<=20,Lookups!$M21,Lookups!$O21))))))]]></f>
        <v>0.4</v>
      </c>
      <c r="D129" s="36">
        <f><![CDATA[IF(D$111<=3,Lookups!$D21,IF(D$111<=4,Lookups!$F21,IF(D$111<=5,Lookups!$H21,IF(D$111<=10,$J21,IF(D$111<=15,Lookups!$L21,IF(D$111<=20,Lookups!$N21,Lookups!$P21))))))]]></f>
        <v>0.01</v>
      </c>
      <c r="E129" s="20">
        <f><![CDATA[IF($F$111<=3,Lookups!$C21,IF(F$111<=4,Lookups!$E21,IF(F$111<=5,Lookups!$G21,IF(F$111<=10,$I21,IF(F$111<=15,Lookups!$K21,IF(F$111<=20,Lookups!$M21,Lookups!$O21))))))]]></f>
        <v>0.4</v>
      </c>
      <c r="F129" s="36">
        <f><![CDATA[IF(F$111<=3,Lookups!$D21,IF(F$111<=4,Lookups!$F21,IF(F$111<=5,Lookups!$H21,IF(F$111<=10,$J21,IF(F$111<=15,Lookups!$L21,IF(F$111<=20,Lookups!$N21,Lookups!$P21))))))]]></f>
        <v>0.01</v>
      </c>
      <c r="G129" s="20">
        <f><![CDATA[IF($H$111<=3,Lookups!$C21,IF(H$111<=4,Lookups!$E21,IF(H$111<=5,Lookups!$G21,IF(H$111<=10,$I21,IF(H$111<=15,Lookups!$K21,IF(H$111<=20,Lookups!$M21,Lookups!$O21))))))]]></f>
        <v>0.4</v>
      </c>
      <c r="H129" s="36">
        <f><![CDATA[IF(H$111<=3,Lookups!$D21,IF(H$111<=4,Lookups!$F21,IF(H$111<=5,Lookups!$H21,IF(H$111<=10,$J21,IF(H$111<=15,Lookups!$L21,IF(H$111<=20,Lookups!$N21,Lookups!$P21))))))]]></f>
        <v>0.01</v>
      </c>
      <c r="I129" s="20">
        <f><![CDATA[IF($J$111<=3,Lookups!$C21,IF(J$111<=4,Lookups!$E21,IF(J$111<=5,Lookups!$G21,IF(J$111<=10,$I21,IF(J$111<=15,Lookups!$K21,IF(J$111<=20,Lookups!$M21,Lookups!$O21))))))]]></f>
        <v>0.4</v>
      </c>
      <c r="J129" s="36">
        <f><![CDATA[IF(J$111<=3,Lookups!$D21,IF(J$111<=4,Lookups!$F21,IF(J$111<=5,Lookups!$H21,IF(J$111<=10,$J21,IF(J$111<=15,Lookups!$L21,IF(J$111<=20,Lookups!$N21,Lookups!$P21))))))]]></f>
        <v>0.01</v>
      </c>
      <c r="K129" s="20">
        <f><![CDATA[IF($L$111<=3,Lookups!$C21,IF(L$111<=4,Lookups!$E21,IF(L$111<=5,Lookups!$G21,IF(L$111<=10,$I21,IF(L$111<=15,Lookups!$K21,IF(L$111<=20,Lookups!$M21,Lookups!$O21))))))]]></f>
        <v>0.4</v>
      </c>
      <c r="L129" s="36">
        <f><![CDATA[IF(L$111<=3,Lookups!$D21,IF(L$111<=4,Lookups!$F21,IF(L$111<=5,Lookups!$H21,IF(L$111<=10,$J21,IF(L$111<=15,Lookups!$L21,IF(L$111<=20,Lookups!$N21,Lookups!$P21))))))]]></f>
        <v>0.01</v>
      </c>
      <c r="M129" s="20">
        <f><![CDATA[IF($J$111<=3,Lookups!$C21,IF(N$111<=4,Lookups!$E21,IF(N$111<=5,Lookups!$G21,IF(N$111<=10,$I21,IF(N$111<=15,Lookups!$K21,IF(N$111<=20,Lookups!$M21,Lookups!$O21))))))]]></f>
        <v>0.4</v>
      </c>
      <c r="N129" s="36">
        <f><![CDATA[IF(N$111<=3,Lookups!$D21,IF(N$111<=4,Lookups!$F21,IF(N$111<=5,Lookups!$H21,IF(N$111<=10,$J21,IF(N$111<=15,Lookups!$L21,IF(N$111<=20,Lookups!$N21,Lookups!$P21))))))]]></f>
        <v>0.01</v>
      </c>
      <c r="O129" s="20">
        <f><![CDATA[IF($P$111<=3,Lookups!$C21,IF(P$111<=4,Lookups!$E21,IF(P$111<=5,Lookups!$G21,IF(P$111<=10,$I21,IF(P$111<=15,Lookups!$K21,IF(P$111<=20,Lookups!$M21,Lookups!$O21))))))]]></f>
        <v>0.4</v>
      </c>
      <c r="P129" s="36">
        <f><![CDATA[IF(P$111<=3,Lookups!$D21,IF(P$111<=4,Lookups!$F21,IF(P$111<=5,Lookups!$H21,IF(P$111<=10,$J21,IF(P$111<=15,Lookups!$L21,IF(P$111<=20,Lookups!$N21,Lookups!$P21))))))]]></f>
        <v>0.01</v>
      </c>
    </row>
    <row r="130" spans="2:18" x14ac:dyDescent="0.25">
      <c r="B130" s="18">
        <v>1600000</v>
      </c>
      <c r="C130" s="20">
        <f><![CDATA[IF($D$111<=3,Lookups!$C22,IF(D$111<=4,Lookups!$E22,IF(D$111<=5,Lookups!$G22,IF(D$111<=10,$I22,IF(D$111<=15,Lookups!$K22,IF(D$111<=20,Lookups!$M22,Lookups!$O22))))))]]></f>
        <v>0.4</v>
      </c>
      <c r="D130" s="36">
        <f><![CDATA[IF(D$111<=3,Lookups!$D22,IF(D$111<=4,Lookups!$F22,IF(D$111<=5,Lookups!$H22,IF(D$111<=10,$J22,IF(D$111<=15,Lookups!$L22,IF(D$111<=20,Lookups!$N22,Lookups!$P22))))))]]></f>
        <v>0.01</v>
      </c>
      <c r="E130" s="20">
        <f><![CDATA[IF($F$111<=3,Lookups!$C22,IF(F$111<=4,Lookups!$E22,IF(F$111<=5,Lookups!$G22,IF(F$111<=10,$I22,IF(F$111<=15,Lookups!$K22,IF(F$111<=20,Lookups!$M22,Lookups!$O22))))))]]></f>
        <v>0.4</v>
      </c>
      <c r="F130" s="36">
        <f><![CDATA[IF(F$111<=3,Lookups!$D22,IF(F$111<=4,Lookups!$F22,IF(F$111<=5,Lookups!$H22,IF(F$111<=10,$J22,IF(F$111<=15,Lookups!$L22,IF(F$111<=20,Lookups!$N22,Lookups!$P22))))))]]></f>
        <v>0.01</v>
      </c>
      <c r="G130" s="20">
        <f><![CDATA[IF($H$111<=3,Lookups!$C22,IF(H$111<=4,Lookups!$E22,IF(H$111<=5,Lookups!$G22,IF(H$111<=10,$I22,IF(H$111<=15,Lookups!$K22,IF(H$111<=20,Lookups!$M22,Lookups!$O22))))))]]></f>
        <v>0.4</v>
      </c>
      <c r="H130" s="36">
        <f><![CDATA[IF(H$111<=3,Lookups!$D22,IF(H$111<=4,Lookups!$F22,IF(H$111<=5,Lookups!$H22,IF(H$111<=10,$J22,IF(H$111<=15,Lookups!$L22,IF(H$111<=20,Lookups!$N22,Lookups!$P22))))))]]></f>
        <v>0.01</v>
      </c>
      <c r="I130" s="20">
        <f><![CDATA[IF($J$111<=3,Lookups!$C22,IF(J$111<=4,Lookups!$E22,IF(J$111<=5,Lookups!$G22,IF(J$111<=10,$I22,IF(J$111<=15,Lookups!$K22,IF(J$111<=20,Lookups!$M22,Lookups!$O22))))))]]></f>
        <v>0.4</v>
      </c>
      <c r="J130" s="36">
        <f><![CDATA[IF(J$111<=3,Lookups!$D22,IF(J$111<=4,Lookups!$F22,IF(J$111<=5,Lookups!$H22,IF(J$111<=10,$J22,IF(J$111<=15,Lookups!$L22,IF(J$111<=20,Lookups!$N22,Lookups!$P22))))))]]></f>
        <v>0.01</v>
      </c>
      <c r="K130" s="20">
        <f><![CDATA[IF($L$111<=3,Lookups!$C22,IF(L$111<=4,Lookups!$E22,IF(L$111<=5,Lookups!$G22,IF(L$111<=10,$I22,IF(L$111<=15,Lookups!$K22,IF(L$111<=20,Lookups!$M22,Lookups!$O22))))))]]></f>
        <v>0.4</v>
      </c>
      <c r="L130" s="36">
        <f><![CDATA[IF(L$111<=3,Lookups!$D22,IF(L$111<=4,Lookups!$F22,IF(L$111<=5,Lookups!$H22,IF(L$111<=10,$J22,IF(L$111<=15,Lookups!$L22,IF(L$111<=20,Lookups!$N22,Lookups!$P22))))))]]></f>
        <v>0.01</v>
      </c>
      <c r="M130" s="20">
        <f><![CDATA[IF($J$111<=3,Lookups!$C22,IF(N$111<=4,Lookups!$E22,IF(N$111<=5,Lookups!$G22,IF(N$111<=10,$I22,IF(N$111<=15,Lookups!$K22,IF(N$111<=20,Lookups!$M22,Lookups!$O22))))))]]></f>
        <v>0.4</v>
      </c>
      <c r="N130" s="36">
        <f><![CDATA[IF(N$111<=3,Lookups!$D22,IF(N$111<=4,Lookups!$F22,IF(N$111<=5,Lookups!$H22,IF(N$111<=10,$J22,IF(N$111<=15,Lookups!$L22,IF(N$111<=20,Lookups!$N22,Lookups!$P22))))))]]></f>
        <v>0.01</v>
      </c>
      <c r="O130" s="20">
        <f><![CDATA[IF($P$111<=3,Lookups!$C22,IF(P$111<=4,Lookups!$E22,IF(P$111<=5,Lookups!$G22,IF(P$111<=10,$I22,IF(P$111<=15,Lookups!$K22,IF(P$111<=20,Lookups!$M22,Lookups!$O22))))))]]></f>
        <v>0.4</v>
      </c>
      <c r="P130" s="36">
        <f><![CDATA[IF(P$111<=3,Lookups!$D22,IF(P$111<=4,Lookups!$F22,IF(P$111<=5,Lookups!$H22,IF(P$111<=10,$J22,IF(P$111<=15,Lookups!$L22,IF(P$111<=20,Lookups!$N22,Lookups!$P22))))))]]></f>
        <v>0.01</v>
      </c>
    </row>
    <row r="131" spans="2:18" x14ac:dyDescent="0.25">
      <c r="B131" s="18">
        <v>1700000</v>
      </c>
      <c r="C131" s="20">
        <f><![CDATA[IF($D$111<=3,Lookups!$C23,IF(D$111<=4,Lookups!$E23,IF(D$111<=5,Lookups!$G23,IF(D$111<=10,$I23,IF(D$111<=15,Lookups!$K23,IF(D$111<=20,Lookups!$M23,Lookups!$O23))))))]]></f>
        <v>0.4</v>
      </c>
      <c r="D131" s="36">
        <f><![CDATA[IF(D$111<=3,Lookups!$D23,IF(D$111<=4,Lookups!$F23,IF(D$111<=5,Lookups!$H23,IF(D$111<=10,$J23,IF(D$111<=15,Lookups!$L23,IF(D$111<=20,Lookups!$N23,Lookups!$P23))))))]]></f>
        <v>0.01</v>
      </c>
      <c r="E131" s="20">
        <f><![CDATA[IF($F$111<=3,Lookups!$C23,IF(F$111<=4,Lookups!$E23,IF(F$111<=5,Lookups!$G23,IF(F$111<=10,$I23,IF(F$111<=15,Lookups!$K23,IF(F$111<=20,Lookups!$M23,Lookups!$O23))))))]]></f>
        <v>0.4</v>
      </c>
      <c r="F131" s="36">
        <f><![CDATA[IF(F$111<=3,Lookups!$D23,IF(F$111<=4,Lookups!$F23,IF(F$111<=5,Lookups!$H23,IF(F$111<=10,$J23,IF(F$111<=15,Lookups!$L23,IF(F$111<=20,Lookups!$N23,Lookups!$P23))))))]]></f>
        <v>0.01</v>
      </c>
      <c r="G131" s="20">
        <f><![CDATA[IF($H$111<=3,Lookups!$C23,IF(H$111<=4,Lookups!$E23,IF(H$111<=5,Lookups!$G23,IF(H$111<=10,$I23,IF(H$111<=15,Lookups!$K23,IF(H$111<=20,Lookups!$M23,Lookups!$O23))))))]]></f>
        <v>0.4</v>
      </c>
      <c r="H131" s="36">
        <f><![CDATA[IF(H$111<=3,Lookups!$D23,IF(H$111<=4,Lookups!$F23,IF(H$111<=5,Lookups!$H23,IF(H$111<=10,$J23,IF(H$111<=15,Lookups!$L23,IF(H$111<=20,Lookups!$N23,Lookups!$P23))))))]]></f>
        <v>0.01</v>
      </c>
      <c r="I131" s="20">
        <f><![CDATA[IF($J$111<=3,Lookups!$C23,IF(J$111<=4,Lookups!$E23,IF(J$111<=5,Lookups!$G23,IF(J$111<=10,$I23,IF(J$111<=15,Lookups!$K23,IF(J$111<=20,Lookups!$M23,Lookups!$O23))))))]]></f>
        <v>0.4</v>
      </c>
      <c r="J131" s="36">
        <f><![CDATA[IF(J$111<=3,Lookups!$D23,IF(J$111<=4,Lookups!$F23,IF(J$111<=5,Lookups!$H23,IF(J$111<=10,$J23,IF(J$111<=15,Lookups!$L23,IF(J$111<=20,Lookups!$N23,Lookups!$P23))))))]]></f>
        <v>0.01</v>
      </c>
      <c r="K131" s="20">
        <f><![CDATA[IF($L$111<=3,Lookups!$C23,IF(L$111<=4,Lookups!$E23,IF(L$111<=5,Lookups!$G23,IF(L$111<=10,$I23,IF(L$111<=15,Lookups!$K23,IF(L$111<=20,Lookups!$M23,Lookups!$O23))))))]]></f>
        <v>0.4</v>
      </c>
      <c r="L131" s="36">
        <f><![CDATA[IF(L$111<=3,Lookups!$D23,IF(L$111<=4,Lookups!$F23,IF(L$111<=5,Lookups!$H23,IF(L$111<=10,$J23,IF(L$111<=15,Lookups!$L23,IF(L$111<=20,Lookups!$N23,Lookups!$P23))))))]]></f>
        <v>0.01</v>
      </c>
      <c r="M131" s="20">
        <f><![CDATA[IF($J$111<=3,Lookups!$C23,IF(N$111<=4,Lookups!$E23,IF(N$111<=5,Lookups!$G23,IF(N$111<=10,$I23,IF(N$111<=15,Lookups!$K23,IF(N$111<=20,Lookups!$M23,Lookups!$O23))))))]]></f>
        <v>0.4</v>
      </c>
      <c r="N131" s="36">
        <f><![CDATA[IF(N$111<=3,Lookups!$D23,IF(N$111<=4,Lookups!$F23,IF(N$111<=5,Lookups!$H23,IF(N$111<=10,$J23,IF(N$111<=15,Lookups!$L23,IF(N$111<=20,Lookups!$N23,Lookups!$P23))))))]]></f>
        <v>0.01</v>
      </c>
      <c r="O131" s="20">
        <f><![CDATA[IF($P$111<=3,Lookups!$C23,IF(P$111<=4,Lookups!$E23,IF(P$111<=5,Lookups!$G23,IF(P$111<=10,$I23,IF(P$111<=15,Lookups!$K23,IF(P$111<=20,Lookups!$M23,Lookups!$O23))))))]]></f>
        <v>0.4</v>
      </c>
      <c r="P131" s="36">
        <f><![CDATA[IF(P$111<=3,Lookups!$D23,IF(P$111<=4,Lookups!$F23,IF(P$111<=5,Lookups!$H23,IF(P$111<=10,$J23,IF(P$111<=15,Lookups!$L23,IF(P$111<=20,Lookups!$N23,Lookups!$P23))))))]]></f>
        <v>0.01</v>
      </c>
    </row>
    <row r="132" spans="2:18" x14ac:dyDescent="0.25">
      <c r="B132" s="18">
        <v>1800000</v>
      </c>
      <c r="C132" s="20">
        <f><![CDATA[IF($D$111<=3,Lookups!$C24,IF(D$111<=4,Lookups!$E24,IF(D$111<=5,Lookups!$G24,IF(D$111<=10,$I24,IF(D$111<=15,Lookups!$K24,IF(D$111<=20,Lookups!$M24,Lookups!$O24))))))]]></f>
        <v>0.4</v>
      </c>
      <c r="D132" s="36">
        <f><![CDATA[IF(D$111<=3,Lookups!$D24,IF(D$111<=4,Lookups!$F24,IF(D$111<=5,Lookups!$H24,IF(D$111<=10,$J24,IF(D$111<=15,Lookups!$L24,IF(D$111<=20,Lookups!$N24,Lookups!$P24))))))]]></f>
        <v>0.01</v>
      </c>
      <c r="E132" s="20">
        <f><![CDATA[IF($F$111<=3,Lookups!$C24,IF(F$111<=4,Lookups!$E24,IF(F$111<=5,Lookups!$G24,IF(F$111<=10,$I24,IF(F$111<=15,Lookups!$K24,IF(F$111<=20,Lookups!$M24,Lookups!$O24))))))]]></f>
        <v>0.4</v>
      </c>
      <c r="F132" s="36">
        <f><![CDATA[IF(F$111<=3,Lookups!$D24,IF(F$111<=4,Lookups!$F24,IF(F$111<=5,Lookups!$H24,IF(F$111<=10,$J24,IF(F$111<=15,Lookups!$L24,IF(F$111<=20,Lookups!$N24,Lookups!$P24))))))]]></f>
        <v>0.01</v>
      </c>
      <c r="G132" s="20">
        <f><![CDATA[IF($H$111<=3,Lookups!$C24,IF(H$111<=4,Lookups!$E24,IF(H$111<=5,Lookups!$G24,IF(H$111<=10,$I24,IF(H$111<=15,Lookups!$K24,IF(H$111<=20,Lookups!$M24,Lookups!$O24))))))]]></f>
        <v>0.4</v>
      </c>
      <c r="H132" s="36">
        <f><![CDATA[IF(H$111<=3,Lookups!$D24,IF(H$111<=4,Lookups!$F24,IF(H$111<=5,Lookups!$H24,IF(H$111<=10,$J24,IF(H$111<=15,Lookups!$L24,IF(H$111<=20,Lookups!$N24,Lookups!$P24))))))]]></f>
        <v>0.01</v>
      </c>
      <c r="I132" s="20">
        <f><![CDATA[IF($J$111<=3,Lookups!$C24,IF(J$111<=4,Lookups!$E24,IF(J$111<=5,Lookups!$G24,IF(J$111<=10,$I24,IF(J$111<=15,Lookups!$K24,IF(J$111<=20,Lookups!$M24,Lookups!$O24))))))]]></f>
        <v>0.4</v>
      </c>
      <c r="J132" s="36">
        <f><![CDATA[IF(J$111<=3,Lookups!$D24,IF(J$111<=4,Lookups!$F24,IF(J$111<=5,Lookups!$H24,IF(J$111<=10,$J24,IF(J$111<=15,Lookups!$L24,IF(J$111<=20,Lookups!$N24,Lookups!$P24))))))]]></f>
        <v>0.01</v>
      </c>
      <c r="K132" s="20">
        <f><![CDATA[IF($L$111<=3,Lookups!$C24,IF(L$111<=4,Lookups!$E24,IF(L$111<=5,Lookups!$G24,IF(L$111<=10,$I24,IF(L$111<=15,Lookups!$K24,IF(L$111<=20,Lookups!$M24,Lookups!$O24))))))]]></f>
        <v>0.4</v>
      </c>
      <c r="L132" s="36">
        <f><![CDATA[IF(L$111<=3,Lookups!$D24,IF(L$111<=4,Lookups!$F24,IF(L$111<=5,Lookups!$H24,IF(L$111<=10,$J24,IF(L$111<=15,Lookups!$L24,IF(L$111<=20,Lookups!$N24,Lookups!$P24))))))]]></f>
        <v>0.01</v>
      </c>
      <c r="M132" s="20">
        <f><![CDATA[IF($J$111<=3,Lookups!$C24,IF(N$111<=4,Lookups!$E24,IF(N$111<=5,Lookups!$G24,IF(N$111<=10,$I24,IF(N$111<=15,Lookups!$K24,IF(N$111<=20,Lookups!$M24,Lookups!$O24))))))]]></f>
        <v>0.4</v>
      </c>
      <c r="N132" s="36">
        <f><![CDATA[IF(N$111<=3,Lookups!$D24,IF(N$111<=4,Lookups!$F24,IF(N$111<=5,Lookups!$H24,IF(N$111<=10,$J24,IF(N$111<=15,Lookups!$L24,IF(N$111<=20,Lookups!$N24,Lookups!$P24))))))]]></f>
        <v>0.01</v>
      </c>
      <c r="O132" s="20">
        <f><![CDATA[IF($P$111<=3,Lookups!$C24,IF(P$111<=4,Lookups!$E24,IF(P$111<=5,Lookups!$G24,IF(P$111<=10,$I24,IF(P$111<=15,Lookups!$K24,IF(P$111<=20,Lookups!$M24,Lookups!$O24))))))]]></f>
        <v>0.4</v>
      </c>
      <c r="P132" s="36">
        <f><![CDATA[IF(P$111<=3,Lookups!$D24,IF(P$111<=4,Lookups!$F24,IF(P$111<=5,Lookups!$H24,IF(P$111<=10,$J24,IF(P$111<=15,Lookups!$L24,IF(P$111<=20,Lookups!$N24,Lookups!$P24))))))]]></f>
        <v>0.01</v>
      </c>
    </row>
    <row r="133" spans="2:18" x14ac:dyDescent="0.25">
      <c r="B133" s="18">
        <v>1900000</v>
      </c>
      <c r="C133" s="20">
        <f><![CDATA[IF($D$111<=3,Lookups!$C25,IF(D$111<=4,Lookups!$E25,IF(D$111<=5,Lookups!$G25,IF(D$111<=10,$I25,IF(D$111<=15,Lookups!$K25,IF(D$111<=20,Lookups!$M25,Lookups!$O25))))))]]></f>
        <v>0.4</v>
      </c>
      <c r="D133" s="36">
        <f><![CDATA[IF(D$111<=3,Lookups!$D25,IF(D$111<=4,Lookups!$F25,IF(D$111<=5,Lookups!$H25,IF(D$111<=10,$J25,IF(D$111<=15,Lookups!$L25,IF(D$111<=20,Lookups!$N25,Lookups!$P25))))))]]></f>
        <v>0.01</v>
      </c>
      <c r="E133" s="20">
        <f><![CDATA[IF($F$111<=3,Lookups!$C25,IF(F$111<=4,Lookups!$E25,IF(F$111<=5,Lookups!$G25,IF(F$111<=10,$I25,IF(F$111<=15,Lookups!$K25,IF(F$111<=20,Lookups!$M25,Lookups!$O25))))))]]></f>
        <v>0.4</v>
      </c>
      <c r="F133" s="36">
        <f><![CDATA[IF(F$111<=3,Lookups!$D25,IF(F$111<=4,Lookups!$F25,IF(F$111<=5,Lookups!$H25,IF(F$111<=10,$J25,IF(F$111<=15,Lookups!$L25,IF(F$111<=20,Lookups!$N25,Lookups!$P25))))))]]></f>
        <v>0.01</v>
      </c>
      <c r="G133" s="20">
        <f><![CDATA[IF($H$111<=3,Lookups!$C25,IF(H$111<=4,Lookups!$E25,IF(H$111<=5,Lookups!$G25,IF(H$111<=10,$I25,IF(H$111<=15,Lookups!$K25,IF(H$111<=20,Lookups!$M25,Lookups!$O25))))))]]></f>
        <v>0.4</v>
      </c>
      <c r="H133" s="36">
        <f><![CDATA[IF(H$111<=3,Lookups!$D25,IF(H$111<=4,Lookups!$F25,IF(H$111<=5,Lookups!$H25,IF(H$111<=10,$J25,IF(H$111<=15,Lookups!$L25,IF(H$111<=20,Lookups!$N25,Lookups!$P25))))))]]></f>
        <v>0.01</v>
      </c>
      <c r="I133" s="20">
        <f><![CDATA[IF($J$111<=3,Lookups!$C25,IF(J$111<=4,Lookups!$E25,IF(J$111<=5,Lookups!$G25,IF(J$111<=10,$I25,IF(J$111<=15,Lookups!$K25,IF(J$111<=20,Lookups!$M25,Lookups!$O25))))))]]></f>
        <v>0.4</v>
      </c>
      <c r="J133" s="36">
        <f><![CDATA[IF(J$111<=3,Lookups!$D25,IF(J$111<=4,Lookups!$F25,IF(J$111<=5,Lookups!$H25,IF(J$111<=10,$J25,IF(J$111<=15,Lookups!$L25,IF(J$111<=20,Lookups!$N25,Lookups!$P25))))))]]></f>
        <v>0.01</v>
      </c>
      <c r="K133" s="20">
        <f><![CDATA[IF($L$111<=3,Lookups!$C25,IF(L$111<=4,Lookups!$E25,IF(L$111<=5,Lookups!$G25,IF(L$111<=10,$I25,IF(L$111<=15,Lookups!$K25,IF(L$111<=20,Lookups!$M25,Lookups!$O25))))))]]></f>
        <v>0.4</v>
      </c>
      <c r="L133" s="36">
        <f><![CDATA[IF(L$111<=3,Lookups!$D25,IF(L$111<=4,Lookups!$F25,IF(L$111<=5,Lookups!$H25,IF(L$111<=10,$J25,IF(L$111<=15,Lookups!$L25,IF(L$111<=20,Lookups!$N25,Lookups!$P25))))))]]></f>
        <v>0.01</v>
      </c>
      <c r="M133" s="20">
        <f><![CDATA[IF($J$111<=3,Lookups!$C25,IF(N$111<=4,Lookups!$E25,IF(N$111<=5,Lookups!$G25,IF(N$111<=10,$I25,IF(N$111<=15,Lookups!$K25,IF(N$111<=20,Lookups!$M25,Lookups!$O25))))))]]></f>
        <v>0.4</v>
      </c>
      <c r="N133" s="36">
        <f><![CDATA[IF(N$111<=3,Lookups!$D25,IF(N$111<=4,Lookups!$F25,IF(N$111<=5,Lookups!$H25,IF(N$111<=10,$J25,IF(N$111<=15,Lookups!$L25,IF(N$111<=20,Lookups!$N25,Lookups!$P25))))))]]></f>
        <v>0.01</v>
      </c>
      <c r="O133" s="20">
        <f><![CDATA[IF($P$111<=3,Lookups!$C25,IF(P$111<=4,Lookups!$E25,IF(P$111<=5,Lookups!$G25,IF(P$111<=10,$I25,IF(P$111<=15,Lookups!$K25,IF(P$111<=20,Lookups!$M25,Lookups!$O25))))))]]></f>
        <v>0.4</v>
      </c>
      <c r="P133" s="36">
        <f><![CDATA[IF(P$111<=3,Lookups!$D25,IF(P$111<=4,Lookups!$F25,IF(P$111<=5,Lookups!$H25,IF(P$111<=10,$J25,IF(P$111<=15,Lookups!$L25,IF(P$111<=20,Lookups!$N25,Lookups!$P25))))))]]></f>
        <v>0.01</v>
      </c>
    </row>
    <row r="134" spans="2:18" x14ac:dyDescent="0.25">
      <c r="C134" t="s" s="0">
        <v>22</v>
      </c>
      <c r="D134" t="s" s="0">
        <v>22</v>
      </c>
      <c r="E134" t="s" s="0">
        <v>22</v>
      </c>
      <c r="F134" t="s" s="0">
        <v>22</v>
      </c>
      <c r="G134" t="s" s="0">
        <v>22</v>
      </c>
      <c r="H134" t="s" s="0">
        <v>22</v>
      </c>
      <c r="I134" t="s" s="0">
        <v>22</v>
      </c>
      <c r="J134" t="s" s="0">
        <v>22</v>
      </c>
      <c r="K134" t="s" s="0">
        <v>22</v>
      </c>
      <c r="L134" t="s" s="0">
        <v>22</v>
      </c>
      <c r="M134" t="s" s="0">
        <v>22</v>
      </c>
      <c r="N134" t="s" s="0">
        <v>22</v>
      </c>
      <c r="O134" t="s" s="0">
        <v>22</v>
      </c>
      <c r="P134" t="s" s="0">
        <v>22</v>
      </c>
    </row>
    <row r="137" spans="2:18" x14ac:dyDescent="0.25">
      <c r="C137" t="s" s="0">
        <v>7</v>
      </c>
      <c r="D137" s="133">
        <f>+Inputs!C46</f>
        <v>0</v>
      </c>
      <c r="F137" s="133">
        <f>+Inputs!C46+1</f>
        <v>1</v>
      </c>
      <c r="H137" s="133">
        <f>+Inputs!C46+2</f>
        <v>2</v>
      </c>
      <c r="J137" s="133">
        <f>+Inputs!C46+3</f>
        <v>3</v>
      </c>
      <c r="L137" s="133">
        <f>+Inputs!C46+4</f>
        <v>4</v>
      </c>
      <c r="N137" s="133">
        <f>+Inputs!C46+5</f>
        <v>5</v>
      </c>
      <c r="P137" s="133">
        <f>+Inputs!C46+6</f>
        <v>6</v>
      </c>
    </row>
    <row r="138" spans="2:18" x14ac:dyDescent="0.25">
      <c r="B138" s="9" t="s">
        <v>33</v>
      </c>
      <c r="C138" s="12" t="s">
        <v>37</v>
      </c>
      <c r="D138" s="11"/>
      <c r="E138" s="12" t="s">
        <v>37</v>
      </c>
      <c r="F138" s="11"/>
      <c r="G138" s="12" t="s">
        <v>37</v>
      </c>
      <c r="H138" s="11"/>
      <c r="I138" s="12" t="s">
        <v>37</v>
      </c>
      <c r="J138" s="11"/>
      <c r="K138" s="12" t="s">
        <v>37</v>
      </c>
      <c r="L138" s="11"/>
      <c r="M138" s="12" t="s">
        <v>37</v>
      </c>
      <c r="N138" s="11"/>
      <c r="O138" s="12" t="s">
        <v>37</v>
      </c>
      <c r="P138" s="11"/>
    </row>
    <row r="139" spans="2:18" x14ac:dyDescent="0.25">
      <c r="B139" s="13" t="s">
        <v>34</v>
      </c>
      <c r="C139" s="206" t="s">
        <v>0</v>
      </c>
      <c r="D139" s="207"/>
      <c r="E139" s="206" t="s">
        <v>1</v>
      </c>
      <c r="F139" s="207"/>
      <c r="G139" s="206" t="s">
        <v>2</v>
      </c>
      <c r="H139" s="207"/>
      <c r="I139" s="206" t="s">
        <v>3</v>
      </c>
      <c r="J139" s="207"/>
      <c r="K139" s="206" t="s">
        <v>4</v>
      </c>
      <c r="L139" s="207"/>
      <c r="M139" s="206" t="s">
        <v>16</v>
      </c>
      <c r="N139" s="207"/>
      <c r="O139" s="206" t="s">
        <v>17</v>
      </c>
      <c r="P139" s="207"/>
    </row>
    <row r="140" spans="2:18" x14ac:dyDescent="0.25">
      <c r="B140" s="18">
        <v>0</v>
      </c>
      <c r="C140" s="20">
        <f><![CDATA[IF($D$137<=3,Lookups!$C6,IF(D$137<=4,Lookups!$E6,IF(D$137<=5,Lookups!$G6,IF(D$137<=10,$I6,IF(D$137<=15,Lookups!$K6,IF(D$137<=20,Lookups!$M6,Lookups!$O6))))))]]></f>
        <v>0.25</v>
      </c>
      <c r="D140" s="36">
        <f><![CDATA[IF(D$137<=3,Lookups!$D6,IF(D$137<=4,Lookups!$F6,IF(D$137<=5,Lookups!$H6,IF(D$137<=10,$J6,IF(D$137<=15,Lookups!$L6,IF(D$137<=20,Lookups!$N6,Lookups!$P6))))))]]></f>
        <v>0</v>
      </c>
      <c r="E140" s="20">
        <f><![CDATA[IF($F$137<=3,Lookups!$C6,IF(F$137<=4,Lookups!$E6,IF(F$137<=5,Lookups!$G6,IF(F$137<=10,$I6,IF(F$137<=15,Lookups!$K6,IF(F$137<=20,Lookups!$M6,Lookups!$O6))))))]]></f>
        <v>0.25</v>
      </c>
      <c r="F140" s="36">
        <f><![CDATA[IF(F$137<=3,Lookups!$D6,IF(F$137<=4,Lookups!$F6,IF(F$137<=5,Lookups!$H6,IF(F$137<=10,$J6,IF(F$137<=15,Lookups!$L6,IF(F$137<=20,Lookups!$N6,Lookups!$P6))))))]]></f>
        <v>0</v>
      </c>
      <c r="G140" s="20">
        <f><![CDATA[IF($H$137<=3,Lookups!$C6,IF(H$137<=4,Lookups!$E6,IF(H$137<=5,Lookups!$G6,IF(H$137<=10,$I6,IF(H$137<=15,Lookups!$K6,IF(H$137<=20,Lookups!$M6,Lookups!$O6))))))]]></f>
        <v>0.25</v>
      </c>
      <c r="H140" s="36">
        <f><![CDATA[IF(H$137<=3,Lookups!$D6,IF(H$137<=4,Lookups!$F6,IF(H$137<=5,Lookups!$H6,IF(H$137<=10,$J6,IF(H$137<=15,Lookups!$L6,IF(H$137<=20,Lookups!$N6,Lookups!$P6))))))]]></f>
        <v>0</v>
      </c>
      <c r="I140" s="20">
        <f><![CDATA[IF($J$137<=3,Lookups!$C6,IF(J$137<=4,Lookups!$E6,IF(J$137<=5,Lookups!$G6,IF(J$137<=10,$I6,IF(J$137<=15,Lookups!$K6,IF(J$137<=20,Lookups!$M6,Lookups!$O6))))))]]></f>
        <v>0.25</v>
      </c>
      <c r="J140" s="36">
        <f><![CDATA[IF(J$137<=3,Lookups!$D6,IF(J$137<=4,Lookups!$F6,IF(J$137<=5,Lookups!$H6,IF(J$137<=10,$J6,IF(J$137<=15,Lookups!$L6,IF(J$137<=20,Lookups!$N6,Lookups!$P6))))))]]></f>
        <v>0</v>
      </c>
      <c r="K140" s="20">
        <f><![CDATA[IF($L$137<=3,Lookups!$C6,IF(L$137<=4,Lookups!$E6,IF(L$137<=5,Lookups!$G6,IF(L$137<=10,$I6,IF(L$137<=15,Lookups!$K6,IF(L$137<=20,Lookups!$M6,Lookups!$O6))))))]]></f>
        <v>0.25</v>
      </c>
      <c r="L140" s="36">
        <f><![CDATA[IF(L$137<=3,Lookups!$D6,IF(L$137<=4,Lookups!$F6,IF(L$137<=5,Lookups!$H6,IF(L$137<=10,$J6,IF(L$137<=15,Lookups!$L6,IF(L$137<=20,Lookups!$N6,Lookups!$P6))))))]]></f>
        <v>0</v>
      </c>
      <c r="M140" s="20">
        <f><![CDATA[IF($N$137<=3,Lookups!$C6,IF(N$137<=4,Lookups!$E6,IF(N$137<=5,Lookups!$G6,IF(N$137<=10,$I6,IF(N$137<=15,Lookups!$K6,IF(N$137<=20,Lookups!$M6,Lookups!$O6))))))]]></f>
        <v>0.25</v>
      </c>
      <c r="N140" s="36">
        <f><![CDATA[IF(N$137<=3,Lookups!$D6,IF(N$137<=4,Lookups!$F6,IF(N$137<=5,Lookups!$H6,IF(N$137<=10,$J6,IF(N$137<=15,Lookups!$L6,IF(N$137<=20,Lookups!$N6,Lookups!$P6))))))]]></f>
        <v>0</v>
      </c>
      <c r="O140" s="20">
        <f><![CDATA[IF($P$137<=3,Lookups!$C6,IF(P$137<=4,Lookups!$E6,IF(P$137<=5,Lookups!$G6,IF(P$137<=10,$I6,IF(P$137<=15,Lookups!$K6,IF(P$137<=20,Lookups!$M6,Lookups!$O6))))))]]></f>
        <v>0.25</v>
      </c>
      <c r="P140" s="36">
        <f><![CDATA[IF(P$137<=3,Lookups!$D6,IF(P$137<=4,Lookups!$F6,IF(P$137<=5,Lookups!$H6,IF(P$137<=10,$J6,IF(P$137<=15,Lookups!$L6,IF(P$137<=20,Lookups!$N6,Lookups!$P6))))))]]></f>
        <v>0</v>
      </c>
    </row>
    <row r="141" spans="2:18" x14ac:dyDescent="0.25">
      <c r="B141" s="18">
        <v>100000</v>
      </c>
      <c r="C141" s="20">
        <f><![CDATA[IF($D$137<=3,Lookups!$C7,IF(D$137<=4,Lookups!$E7,IF(D$137<=5,Lookups!$G7,IF(D$137<=10,$I7,IF(D$137<=15,Lookups!$K7,IF(D$137<=20,Lookups!$M7,Lookups!$O7))))))]]></f>
        <v>0.4</v>
      </c>
      <c r="D141" s="36">
        <f><![CDATA[IF(D$137<=3,Lookups!$D7,IF(D$137<=4,Lookups!$F7,IF(D$137<=5,Lookups!$H7,IF(D$137<=10,$J7,IF(D$137<=15,Lookups!$L7,IF(D$137<=20,Lookups!$N7,Lookups!$P7))))))]]></f>
        <v>0</v>
      </c>
      <c r="E141" s="20">
        <f><![CDATA[IF($F$137<=3,Lookups!$C7,IF(F$137<=4,Lookups!$E7,IF(F$137<=5,Lookups!$G7,IF(F$137<=10,$I7,IF(F$137<=15,Lookups!$K7,IF(F$137<=20,Lookups!$M7,Lookups!$O7))))))]]></f>
        <v>0.4</v>
      </c>
      <c r="F141" s="36">
        <f><![CDATA[IF(F$137<=3,Lookups!$D7,IF(F$137<=4,Lookups!$F7,IF(F$137<=5,Lookups!$H7,IF(F$137<=10,$J7,IF(F$137<=15,Lookups!$L7,IF(F$137<=20,Lookups!$N7,Lookups!$P7))))))]]></f>
        <v>0</v>
      </c>
      <c r="G141" s="20">
        <f><![CDATA[IF($H$137<=3,Lookups!$C7,IF(H$137<=4,Lookups!$E7,IF(H$137<=5,Lookups!$G7,IF(H$137<=10,$I7,IF(H$137<=15,Lookups!$K7,IF(H$137<=20,Lookups!$M7,Lookups!$O7))))))]]></f>
        <v>0.4</v>
      </c>
      <c r="H141" s="36">
        <f><![CDATA[IF(H$137<=3,Lookups!$D7,IF(H$137<=4,Lookups!$F7,IF(H$137<=5,Lookups!$H7,IF(H$137<=10,$J7,IF(H$137<=15,Lookups!$L7,IF(H$137<=20,Lookups!$N7,Lookups!$P7))))))]]></f>
        <v>0</v>
      </c>
      <c r="I141" s="20">
        <f><![CDATA[IF($J$137<=3,Lookups!$C7,IF(J$137<=4,Lookups!$E7,IF(J$137<=5,Lookups!$G7,IF(J$137<=10,$I7,IF(J$137<=15,Lookups!$K7,IF(J$137<=20,Lookups!$M7,Lookups!$O7))))))]]></f>
        <v>0.4</v>
      </c>
      <c r="J141" s="36">
        <f><![CDATA[IF(J$137<=3,Lookups!$D7,IF(J$137<=4,Lookups!$F7,IF(J$137<=5,Lookups!$H7,IF(J$137<=10,$J7,IF(J$137<=15,Lookups!$L7,IF(J$137<=20,Lookups!$N7,Lookups!$P7))))))]]></f>
        <v>0</v>
      </c>
      <c r="K141" s="20">
        <f><![CDATA[IF($L$137<=3,Lookups!$C7,IF(L$137<=4,Lookups!$E7,IF(L$137<=5,Lookups!$G7,IF(L$137<=10,$I7,IF(L$137<=15,Lookups!$K7,IF(L$137<=20,Lookups!$M7,Lookups!$O7))))))]]></f>
        <v>0.4</v>
      </c>
      <c r="L141" s="36">
        <f><![CDATA[IF(L$137<=3,Lookups!$D7,IF(L$137<=4,Lookups!$F7,IF(L$137<=5,Lookups!$H7,IF(L$137<=10,$J7,IF(L$137<=15,Lookups!$L7,IF(L$137<=20,Lookups!$N7,Lookups!$P7))))))]]></f>
        <v>0</v>
      </c>
      <c r="M141" s="20">
        <f><![CDATA[IF($N$137<=3,Lookups!$C7,IF(N$137<=4,Lookups!$E7,IF(N$137<=5,Lookups!$G7,IF(N$137<=10,$I7,IF(N$137<=15,Lookups!$K7,IF(N$137<=20,Lookups!$M7,Lookups!$O7))))))]]></f>
        <v>0.4</v>
      </c>
      <c r="N141" s="36">
        <f><![CDATA[IF(N$137<=3,Lookups!$D7,IF(N$137<=4,Lookups!$F7,IF(N$137<=5,Lookups!$H7,IF(N$137<=10,$J7,IF(N$137<=15,Lookups!$L7,IF(N$137<=20,Lookups!$N7,Lookups!$P7))))))]]></f>
        <v>0</v>
      </c>
      <c r="O141" s="20">
        <f><![CDATA[IF($P$137<=3,Lookups!$C7,IF(P$137<=4,Lookups!$E7,IF(P$137<=5,Lookups!$G7,IF(P$137<=10,$I7,IF(P$137<=15,Lookups!$K7,IF(P$137<=20,Lookups!$M7,Lookups!$O7))))))]]></f>
        <v>0.4</v>
      </c>
      <c r="P141" s="36">
        <f><![CDATA[IF(P$137<=3,Lookups!$D7,IF(P$137<=4,Lookups!$F7,IF(P$137<=5,Lookups!$H7,IF(P$137<=10,$J7,IF(P$137<=15,Lookups!$L7,IF(P$137<=20,Lookups!$N7,Lookups!$P7))))))]]></f>
        <v>0</v>
      </c>
    </row>
    <row r="142" spans="2:18" x14ac:dyDescent="0.25">
      <c r="B142" s="18">
        <v>200000</v>
      </c>
      <c r="C142" s="20">
        <f><![CDATA[IF($D$137<=3,Lookups!$C8,IF(D$137<=4,Lookups!$E8,IF(D$137<=5,Lookups!$G8,IF(D$137<=10,$I8,IF(D$137<=15,Lookups!$K8,IF(D$137<=20,Lookups!$M8,Lookups!$O8))))))]]></f>
        <v>0.4</v>
      </c>
      <c r="D142" s="36">
        <f><![CDATA[IF(D$137<=3,Lookups!$D8,IF(D$137<=4,Lookups!$F8,IF(D$137<=5,Lookups!$H8,IF(D$137<=10,$J8,IF(D$137<=15,Lookups!$L8,IF(D$137<=20,Lookups!$N8,Lookups!$P8))))))]]></f>
        <v>0</v>
      </c>
      <c r="E142" s="20">
        <f><![CDATA[IF($F$137<=3,Lookups!$C8,IF(F$137<=4,Lookups!$E8,IF(F$137<=5,Lookups!$G8,IF(F$137<=10,$I8,IF(F$137<=15,Lookups!$K8,IF(F$137<=20,Lookups!$M8,Lookups!$O8))))))]]></f>
        <v>0.4</v>
      </c>
      <c r="F142" s="36">
        <f><![CDATA[IF(F$137<=3,Lookups!$D8,IF(F$137<=4,Lookups!$F8,IF(F$137<=5,Lookups!$H8,IF(F$137<=10,$J8,IF(F$137<=15,Lookups!$L8,IF(F$137<=20,Lookups!$N8,Lookups!$P8))))))]]></f>
        <v>0</v>
      </c>
      <c r="G142" s="20">
        <f><![CDATA[IF($H$137<=3,Lookups!$C8,IF(H$137<=4,Lookups!$E8,IF(H$137<=5,Lookups!$G8,IF(H$137<=10,$I8,IF(H$137<=15,Lookups!$K8,IF(H$137<=20,Lookups!$M8,Lookups!$O8))))))]]></f>
        <v>0.4</v>
      </c>
      <c r="H142" s="36">
        <f><![CDATA[IF(H$137<=3,Lookups!$D8,IF(H$137<=4,Lookups!$F8,IF(H$137<=5,Lookups!$H8,IF(H$137<=10,$J8,IF(H$137<=15,Lookups!$L8,IF(H$137<=20,Lookups!$N8,Lookups!$P8))))))]]></f>
        <v>0</v>
      </c>
      <c r="I142" s="20">
        <f><![CDATA[IF($J$137<=3,Lookups!$C8,IF(J$137<=4,Lookups!$E8,IF(J$137<=5,Lookups!$G8,IF(J$137<=10,$I8,IF(J$137<=15,Lookups!$K8,IF(J$137<=20,Lookups!$M8,Lookups!$O8))))))]]></f>
        <v>0.4</v>
      </c>
      <c r="J142" s="36">
        <f><![CDATA[IF(J$137<=3,Lookups!$D8,IF(J$137<=4,Lookups!$F8,IF(J$137<=5,Lookups!$H8,IF(J$137<=10,$J8,IF(J$137<=15,Lookups!$L8,IF(J$137<=20,Lookups!$N8,Lookups!$P8))))))]]></f>
        <v>0</v>
      </c>
      <c r="K142" s="20">
        <f><![CDATA[IF($L$137<=3,Lookups!$C8,IF(L$137<=4,Lookups!$E8,IF(L$137<=5,Lookups!$G8,IF(L$137<=10,$I8,IF(L$137<=15,Lookups!$K8,IF(L$137<=20,Lookups!$M8,Lookups!$O8))))))]]></f>
        <v>0.4</v>
      </c>
      <c r="L142" s="36">
        <f><![CDATA[IF(L$137<=3,Lookups!$D8,IF(L$137<=4,Lookups!$F8,IF(L$137<=5,Lookups!$H8,IF(L$137<=10,$J8,IF(L$137<=15,Lookups!$L8,IF(L$137<=20,Lookups!$N8,Lookups!$P8))))))]]></f>
        <v>0</v>
      </c>
      <c r="M142" s="20">
        <f><![CDATA[IF($N$137<=3,Lookups!$C8,IF(N$137<=4,Lookups!$E8,IF(N$137<=5,Lookups!$G8,IF(N$137<=10,$I8,IF(N$137<=15,Lookups!$K8,IF(N$137<=20,Lookups!$M8,Lookups!$O8))))))]]></f>
        <v>0.4</v>
      </c>
      <c r="N142" s="36">
        <f><![CDATA[IF(N$137<=3,Lookups!$D8,IF(N$137<=4,Lookups!$F8,IF(N$137<=5,Lookups!$H8,IF(N$137<=10,$J8,IF(N$137<=15,Lookups!$L8,IF(N$137<=20,Lookups!$N8,Lookups!$P8))))))]]></f>
        <v>0</v>
      </c>
      <c r="O142" s="20">
        <f><![CDATA[IF($P$137<=3,Lookups!$C8,IF(P$137<=4,Lookups!$E8,IF(P$137<=5,Lookups!$G8,IF(P$137<=10,$I8,IF(P$137<=15,Lookups!$K8,IF(P$137<=20,Lookups!$M8,Lookups!$O8))))))]]></f>
        <v>0.4</v>
      </c>
      <c r="P142" s="36">
        <f><![CDATA[IF(P$137<=3,Lookups!$D8,IF(P$137<=4,Lookups!$F8,IF(P$137<=5,Lookups!$H8,IF(P$137<=10,$J8,IF(P$137<=15,Lookups!$L8,IF(P$137<=20,Lookups!$N8,Lookups!$P8))))))]]></f>
        <v>0</v>
      </c>
      <c r="R142" t="s" s="0">
        <v>27</v>
      </c>
    </row>
    <row r="143" spans="2:18" x14ac:dyDescent="0.25">
      <c r="B143" s="18">
        <v>300000</v>
      </c>
      <c r="C143" s="20">
        <f><![CDATA[IF($D$137<=3,Lookups!$C9,IF(D$137<=4,Lookups!$E9,IF(D$137<=5,Lookups!$G9,IF(D$137<=10,$I9,IF(D$137<=15,Lookups!$K9,IF(D$137<=20,Lookups!$M9,Lookups!$O9))))))]]></f>
        <v>0.4</v>
      </c>
      <c r="D143" s="36">
        <f><![CDATA[IF(D$137<=3,Lookups!$D9,IF(D$137<=4,Lookups!$F9,IF(D$137<=5,Lookups!$H9,IF(D$137<=10,$J9,IF(D$137<=15,Lookups!$L9,IF(D$137<=20,Lookups!$N9,Lookups!$P9))))))]]></f>
        <v>0</v>
      </c>
      <c r="E143" s="20">
        <f><![CDATA[IF($F$137<=3,Lookups!$C9,IF(F$137<=4,Lookups!$E9,IF(F$137<=5,Lookups!$G9,IF(F$137<=10,$I9,IF(F$137<=15,Lookups!$K9,IF(F$137<=20,Lookups!$M9,Lookups!$O9))))))]]></f>
        <v>0.4</v>
      </c>
      <c r="F143" s="36">
        <f><![CDATA[IF(F$137<=3,Lookups!$D9,IF(F$137<=4,Lookups!$F9,IF(F$137<=5,Lookups!$H9,IF(F$137<=10,$J9,IF(F$137<=15,Lookups!$L9,IF(F$137<=20,Lookups!$N9,Lookups!$P9))))))]]></f>
        <v>0</v>
      </c>
      <c r="G143" s="20">
        <f><![CDATA[IF($H$137<=3,Lookups!$C9,IF(H$137<=4,Lookups!$E9,IF(H$137<=5,Lookups!$G9,IF(H$137<=10,$I9,IF(H$137<=15,Lookups!$K9,IF(H$137<=20,Lookups!$M9,Lookups!$O9))))))]]></f>
        <v>0.4</v>
      </c>
      <c r="H143" s="36">
        <f><![CDATA[IF(H$137<=3,Lookups!$D9,IF(H$137<=4,Lookups!$F9,IF(H$137<=5,Lookups!$H9,IF(H$137<=10,$J9,IF(H$137<=15,Lookups!$L9,IF(H$137<=20,Lookups!$N9,Lookups!$P9))))))]]></f>
        <v>0</v>
      </c>
      <c r="I143" s="20">
        <f><![CDATA[IF($J$137<=3,Lookups!$C9,IF(J$137<=4,Lookups!$E9,IF(J$137<=5,Lookups!$G9,IF(J$137<=10,$I9,IF(J$137<=15,Lookups!$K9,IF(J$137<=20,Lookups!$M9,Lookups!$O9))))))]]></f>
        <v>0.4</v>
      </c>
      <c r="J143" s="36">
        <f><![CDATA[IF(J$137<=3,Lookups!$D9,IF(J$137<=4,Lookups!$F9,IF(J$137<=5,Lookups!$H9,IF(J$137<=10,$J9,IF(J$137<=15,Lookups!$L9,IF(J$137<=20,Lookups!$N9,Lookups!$P9))))))]]></f>
        <v>0</v>
      </c>
      <c r="K143" s="20">
        <f><![CDATA[IF($L$137<=3,Lookups!$C9,IF(L$137<=4,Lookups!$E9,IF(L$137<=5,Lookups!$G9,IF(L$137<=10,$I9,IF(L$137<=15,Lookups!$K9,IF(L$137<=20,Lookups!$M9,Lookups!$O9))))))]]></f>
        <v>0.4</v>
      </c>
      <c r="L143" s="36">
        <f><![CDATA[IF(L$137<=3,Lookups!$D9,IF(L$137<=4,Lookups!$F9,IF(L$137<=5,Lookups!$H9,IF(L$137<=10,$J9,IF(L$137<=15,Lookups!$L9,IF(L$137<=20,Lookups!$N9,Lookups!$P9))))))]]></f>
        <v>0</v>
      </c>
      <c r="M143" s="20">
        <f><![CDATA[IF($N$137<=3,Lookups!$C9,IF(N$137<=4,Lookups!$E9,IF(N$137<=5,Lookups!$G9,IF(N$137<=10,$I9,IF(N$137<=15,Lookups!$K9,IF(N$137<=20,Lookups!$M9,Lookups!$O9))))))]]></f>
        <v>0.4</v>
      </c>
      <c r="N143" s="36">
        <f><![CDATA[IF(N$137<=3,Lookups!$D9,IF(N$137<=4,Lookups!$F9,IF(N$137<=5,Lookups!$H9,IF(N$137<=10,$J9,IF(N$137<=15,Lookups!$L9,IF(N$137<=20,Lookups!$N9,Lookups!$P9))))))]]></f>
        <v>0</v>
      </c>
      <c r="O143" s="20">
        <f><![CDATA[IF($P$137<=3,Lookups!$C9,IF(P$137<=4,Lookups!$E9,IF(P$137<=5,Lookups!$G9,IF(P$137<=10,$I9,IF(P$137<=15,Lookups!$K9,IF(P$137<=20,Lookups!$M9,Lookups!$O9))))))]]></f>
        <v>0.4</v>
      </c>
      <c r="P143" s="36">
        <f><![CDATA[IF(P$137<=3,Lookups!$D9,IF(P$137<=4,Lookups!$F9,IF(P$137<=5,Lookups!$H9,IF(P$137<=10,$J9,IF(P$137<=15,Lookups!$L9,IF(P$137<=20,Lookups!$N9,Lookups!$P9))))))]]></f>
        <v>0</v>
      </c>
    </row>
    <row r="144" spans="2:18" x14ac:dyDescent="0.25">
      <c r="B144" s="18">
        <v>400000</v>
      </c>
      <c r="C144" s="20">
        <f><![CDATA[IF($D$137<=3,Lookups!$C10,IF(D$137<=4,Lookups!$E10,IF(D$137<=5,Lookups!$G10,IF(D$137<=10,$I10,IF(D$137<=15,Lookups!$K10,IF(D$137<=20,Lookups!$M10,Lookups!$O10))))))]]></f>
        <v>0.4</v>
      </c>
      <c r="D144" s="36">
        <f><![CDATA[IF(D$137<=3,Lookups!$D10,IF(D$137<=4,Lookups!$F10,IF(D$137<=5,Lookups!$H10,IF(D$137<=10,$J10,IF(D$137<=15,Lookups!$L10,IF(D$137<=20,Lookups!$N10,Lookups!$P10))))))]]></f>
        <v>0</v>
      </c>
      <c r="E144" s="20">
        <f><![CDATA[IF($F$137<=3,Lookups!$C10,IF(F$137<=4,Lookups!$E10,IF(F$137<=5,Lookups!$G10,IF(F$137<=10,$I10,IF(F$137<=15,Lookups!$K10,IF(F$137<=20,Lookups!$M10,Lookups!$O10))))))]]></f>
        <v>0.4</v>
      </c>
      <c r="F144" s="36">
        <f><![CDATA[IF(F$137<=3,Lookups!$D10,IF(F$137<=4,Lookups!$F10,IF(F$137<=5,Lookups!$H10,IF(F$137<=10,$J10,IF(F$137<=15,Lookups!$L10,IF(F$137<=20,Lookups!$N10,Lookups!$P10))))))]]></f>
        <v>0</v>
      </c>
      <c r="G144" s="20">
        <f><![CDATA[IF($H$137<=3,Lookups!$C10,IF(H$137<=4,Lookups!$E10,IF(H$137<=5,Lookups!$G10,IF(H$137<=10,$I10,IF(H$137<=15,Lookups!$K10,IF(H$137<=20,Lookups!$M10,Lookups!$O10))))))]]></f>
        <v>0.4</v>
      </c>
      <c r="H144" s="36">
        <f><![CDATA[IF(H$137<=3,Lookups!$D10,IF(H$137<=4,Lookups!$F10,IF(H$137<=5,Lookups!$H10,IF(H$137<=10,$J10,IF(H$137<=15,Lookups!$L10,IF(H$137<=20,Lookups!$N10,Lookups!$P10))))))]]></f>
        <v>0</v>
      </c>
      <c r="I144" s="20">
        <f><![CDATA[IF($J$137<=3,Lookups!$C10,IF(J$137<=4,Lookups!$E10,IF(J$137<=5,Lookups!$G10,IF(J$137<=10,$I10,IF(J$137<=15,Lookups!$K10,IF(J$137<=20,Lookups!$M10,Lookups!$O10))))))]]></f>
        <v>0.4</v>
      </c>
      <c r="J144" s="36">
        <f><![CDATA[IF(J$137<=3,Lookups!$D10,IF(J$137<=4,Lookups!$F10,IF(J$137<=5,Lookups!$H10,IF(J$137<=10,$J10,IF(J$137<=15,Lookups!$L10,IF(J$137<=20,Lookups!$N10,Lookups!$P10))))))]]></f>
        <v>0</v>
      </c>
      <c r="K144" s="20">
        <f><![CDATA[IF($L$137<=3,Lookups!$C10,IF(L$137<=4,Lookups!$E10,IF(L$137<=5,Lookups!$G10,IF(L$137<=10,$I10,IF(L$137<=15,Lookups!$K10,IF(L$137<=20,Lookups!$M10,Lookups!$O10))))))]]></f>
        <v>0.4</v>
      </c>
      <c r="L144" s="36">
        <f><![CDATA[IF(L$137<=3,Lookups!$D10,IF(L$137<=4,Lookups!$F10,IF(L$137<=5,Lookups!$H10,IF(L$137<=10,$J10,IF(L$137<=15,Lookups!$L10,IF(L$137<=20,Lookups!$N10,Lookups!$P10))))))]]></f>
        <v>0</v>
      </c>
      <c r="M144" s="20">
        <f><![CDATA[IF($N$137<=3,Lookups!$C10,IF(N$137<=4,Lookups!$E10,IF(N$137<=5,Lookups!$G10,IF(N$137<=10,$I10,IF(N$137<=15,Lookups!$K10,IF(N$137<=20,Lookups!$M10,Lookups!$O10))))))]]></f>
        <v>0.4</v>
      </c>
      <c r="N144" s="36">
        <f><![CDATA[IF(N$137<=3,Lookups!$D10,IF(N$137<=4,Lookups!$F10,IF(N$137<=5,Lookups!$H10,IF(N$137<=10,$J10,IF(N$137<=15,Lookups!$L10,IF(N$137<=20,Lookups!$N10,Lookups!$P10))))))]]></f>
        <v>0</v>
      </c>
      <c r="O144" s="20">
        <f><![CDATA[IF($P$137<=3,Lookups!$C10,IF(P$137<=4,Lookups!$E10,IF(P$137<=5,Lookups!$G10,IF(P$137<=10,$I10,IF(P$137<=15,Lookups!$K10,IF(P$137<=20,Lookups!$M10,Lookups!$O10))))))]]></f>
        <v>0.4</v>
      </c>
      <c r="P144" s="36">
        <f><![CDATA[IF(P$137<=3,Lookups!$D10,IF(P$137<=4,Lookups!$F10,IF(P$137<=5,Lookups!$H10,IF(P$137<=10,$J10,IF(P$137<=15,Lookups!$L10,IF(P$137<=20,Lookups!$N10,Lookups!$P10))))))]]></f>
        <v>0</v>
      </c>
    </row>
    <row r="145" spans="2:16" x14ac:dyDescent="0.25">
      <c r="B145" s="18">
        <v>500000</v>
      </c>
      <c r="C145" s="20">
        <f><![CDATA[IF($D$137<=3,Lookups!$C11,IF(D$137<=4,Lookups!$E11,IF(D$137<=5,Lookups!$G11,IF(D$137<=10,$I11,IF(D$137<=15,Lookups!$K11,IF(D$137<=20,Lookups!$M11,Lookups!$O11))))))]]></f>
        <v>0.4</v>
      </c>
      <c r="D145" s="36">
        <f><![CDATA[IF(D$137<=3,Lookups!$D11,IF(D$137<=4,Lookups!$F11,IF(D$137<=5,Lookups!$H11,IF(D$137<=10,$J11,IF(D$137<=15,Lookups!$L11,IF(D$137<=20,Lookups!$N11,Lookups!$P11))))))]]></f>
        <v>0</v>
      </c>
      <c r="E145" s="20">
        <f><![CDATA[IF($F$137<=3,Lookups!$C11,IF(F$137<=4,Lookups!$E11,IF(F$137<=5,Lookups!$G11,IF(F$137<=10,$I11,IF(F$137<=15,Lookups!$K11,IF(F$137<=20,Lookups!$M11,Lookups!$O11))))))]]></f>
        <v>0.4</v>
      </c>
      <c r="F145" s="36">
        <f><![CDATA[IF(F$137<=3,Lookups!$D11,IF(F$137<=4,Lookups!$F11,IF(F$137<=5,Lookups!$H11,IF(F$137<=10,$J11,IF(F$137<=15,Lookups!$L11,IF(F$137<=20,Lookups!$N11,Lookups!$P11))))))]]></f>
        <v>0</v>
      </c>
      <c r="G145" s="20">
        <f><![CDATA[IF($H$137<=3,Lookups!$C11,IF(H$137<=4,Lookups!$E11,IF(H$137<=5,Lookups!$G11,IF(H$137<=10,$I11,IF(H$137<=15,Lookups!$K11,IF(H$137<=20,Lookups!$M11,Lookups!$O11))))))]]></f>
        <v>0.4</v>
      </c>
      <c r="H145" s="36">
        <f><![CDATA[IF(H$137<=3,Lookups!$D11,IF(H$137<=4,Lookups!$F11,IF(H$137<=5,Lookups!$H11,IF(H$137<=10,$J11,IF(H$137<=15,Lookups!$L11,IF(H$137<=20,Lookups!$N11,Lookups!$P11))))))]]></f>
        <v>0</v>
      </c>
      <c r="I145" s="20">
        <f><![CDATA[IF($J$137<=3,Lookups!$C11,IF(J$137<=4,Lookups!$E11,IF(J$137<=5,Lookups!$G11,IF(J$137<=10,$I11,IF(J$137<=15,Lookups!$K11,IF(J$137<=20,Lookups!$M11,Lookups!$O11))))))]]></f>
        <v>0.4</v>
      </c>
      <c r="J145" s="36">
        <f><![CDATA[IF(J$137<=3,Lookups!$D11,IF(J$137<=4,Lookups!$F11,IF(J$137<=5,Lookups!$H11,IF(J$137<=10,$J11,IF(J$137<=15,Lookups!$L11,IF(J$137<=20,Lookups!$N11,Lookups!$P11))))))]]></f>
        <v>0</v>
      </c>
      <c r="K145" s="20">
        <f><![CDATA[IF($L$137<=3,Lookups!$C11,IF(L$137<=4,Lookups!$E11,IF(L$137<=5,Lookups!$G11,IF(L$137<=10,$I11,IF(L$137<=15,Lookups!$K11,IF(L$137<=20,Lookups!$M11,Lookups!$O11))))))]]></f>
        <v>0.4</v>
      </c>
      <c r="L145" s="36">
        <f><![CDATA[IF(L$137<=3,Lookups!$D11,IF(L$137<=4,Lookups!$F11,IF(L$137<=5,Lookups!$H11,IF(L$137<=10,$J11,IF(L$137<=15,Lookups!$L11,IF(L$137<=20,Lookups!$N11,Lookups!$P11))))))]]></f>
        <v>0</v>
      </c>
      <c r="M145" s="20">
        <f><![CDATA[IF($N$137<=3,Lookups!$C11,IF(N$137<=4,Lookups!$E11,IF(N$137<=5,Lookups!$G11,IF(N$137<=10,$I11,IF(N$137<=15,Lookups!$K11,IF(N$137<=20,Lookups!$M11,Lookups!$O11))))))]]></f>
        <v>0.4</v>
      </c>
      <c r="N145" s="36">
        <f><![CDATA[IF(N$137<=3,Lookups!$D11,IF(N$137<=4,Lookups!$F11,IF(N$137<=5,Lookups!$H11,IF(N$137<=10,$J11,IF(N$137<=15,Lookups!$L11,IF(N$137<=20,Lookups!$N11,Lookups!$P11))))))]]></f>
        <v>0</v>
      </c>
      <c r="O145" s="20">
        <f><![CDATA[IF($P$137<=3,Lookups!$C11,IF(P$137<=4,Lookups!$E11,IF(P$137<=5,Lookups!$G11,IF(P$137<=10,$I11,IF(P$137<=15,Lookups!$K11,IF(P$137<=20,Lookups!$M11,Lookups!$O11))))))]]></f>
        <v>0.4</v>
      </c>
      <c r="P145" s="36">
        <f><![CDATA[IF(P$137<=3,Lookups!$D11,IF(P$137<=4,Lookups!$F11,IF(P$137<=5,Lookups!$H11,IF(P$137<=10,$J11,IF(P$137<=15,Lookups!$L11,IF(P$137<=20,Lookups!$N11,Lookups!$P11))))))]]></f>
        <v>0</v>
      </c>
    </row>
    <row r="146" spans="2:16" x14ac:dyDescent="0.25">
      <c r="B146" s="18">
        <v>600000</v>
      </c>
      <c r="C146" s="20">
        <f><![CDATA[IF($D$137<=3,Lookups!$C12,IF(D$137<=4,Lookups!$E12,IF(D$137<=5,Lookups!$G12,IF(D$137<=10,$I12,IF(D$137<=15,Lookups!$K12,IF(D$137<=20,Lookups!$M12,Lookups!$O12))))))]]></f>
        <v>0.4</v>
      </c>
      <c r="D146" s="36">
        <f><![CDATA[IF(D$137<=3,Lookups!$D12,IF(D$137<=4,Lookups!$F12,IF(D$137<=5,Lookups!$H12,IF(D$137<=10,$J12,IF(D$137<=15,Lookups!$L12,IF(D$137<=20,Lookups!$N12,Lookups!$P12))))))]]></f>
        <v>0</v>
      </c>
      <c r="E146" s="20">
        <f><![CDATA[IF($F$137<=3,Lookups!$C12,IF(F$137<=4,Lookups!$E12,IF(F$137<=5,Lookups!$G12,IF(F$137<=10,$I12,IF(F$137<=15,Lookups!$K12,IF(F$137<=20,Lookups!$M12,Lookups!$O12))))))]]></f>
        <v>0.4</v>
      </c>
      <c r="F146" s="36">
        <f><![CDATA[IF(F$137<=3,Lookups!$D12,IF(F$137<=4,Lookups!$F12,IF(F$137<=5,Lookups!$H12,IF(F$137<=10,$J12,IF(F$137<=15,Lookups!$L12,IF(F$137<=20,Lookups!$N12,Lookups!$P12))))))]]></f>
        <v>0</v>
      </c>
      <c r="G146" s="20">
        <f><![CDATA[IF($H$137<=3,Lookups!$C12,IF(H$137<=4,Lookups!$E12,IF(H$137<=5,Lookups!$G12,IF(H$137<=10,$I12,IF(H$137<=15,Lookups!$K12,IF(H$137<=20,Lookups!$M12,Lookups!$O12))))))]]></f>
        <v>0.4</v>
      </c>
      <c r="H146" s="36">
        <f><![CDATA[IF(H$137<=3,Lookups!$D12,IF(H$137<=4,Lookups!$F12,IF(H$137<=5,Lookups!$H12,IF(H$137<=10,$J12,IF(H$137<=15,Lookups!$L12,IF(H$137<=20,Lookups!$N12,Lookups!$P12))))))]]></f>
        <v>0</v>
      </c>
      <c r="I146" s="20">
        <f><![CDATA[IF($J$137<=3,Lookups!$C12,IF(J$137<=4,Lookups!$E12,IF(J$137<=5,Lookups!$G12,IF(J$137<=10,$I12,IF(J$137<=15,Lookups!$K12,IF(J$137<=20,Lookups!$M12,Lookups!$O12))))))]]></f>
        <v>0.4</v>
      </c>
      <c r="J146" s="36">
        <f><![CDATA[IF(J$137<=3,Lookups!$D12,IF(J$137<=4,Lookups!$F12,IF(J$137<=5,Lookups!$H12,IF(J$137<=10,$J12,IF(J$137<=15,Lookups!$L12,IF(J$137<=20,Lookups!$N12,Lookups!$P12))))))]]></f>
        <v>0</v>
      </c>
      <c r="K146" s="20">
        <f><![CDATA[IF($L$137<=3,Lookups!$C12,IF(L$137<=4,Lookups!$E12,IF(L$137<=5,Lookups!$G12,IF(L$137<=10,$I12,IF(L$137<=15,Lookups!$K12,IF(L$137<=20,Lookups!$M12,Lookups!$O12))))))]]></f>
        <v>0.4</v>
      </c>
      <c r="L146" s="36">
        <f><![CDATA[IF(L$137<=3,Lookups!$D12,IF(L$137<=4,Lookups!$F12,IF(L$137<=5,Lookups!$H12,IF(L$137<=10,$J12,IF(L$137<=15,Lookups!$L12,IF(L$137<=20,Lookups!$N12,Lookups!$P12))))))]]></f>
        <v>0</v>
      </c>
      <c r="M146" s="20">
        <f><![CDATA[IF($N$137<=3,Lookups!$C12,IF(N$137<=4,Lookups!$E12,IF(N$137<=5,Lookups!$G12,IF(N$137<=10,$I12,IF(N$137<=15,Lookups!$K12,IF(N$137<=20,Lookups!$M12,Lookups!$O12))))))]]></f>
        <v>0.4</v>
      </c>
      <c r="N146" s="36">
        <f><![CDATA[IF(N$137<=3,Lookups!$D12,IF(N$137<=4,Lookups!$F12,IF(N$137<=5,Lookups!$H12,IF(N$137<=10,$J12,IF(N$137<=15,Lookups!$L12,IF(N$137<=20,Lookups!$N12,Lookups!$P12))))))]]></f>
        <v>0</v>
      </c>
      <c r="O146" s="20">
        <f><![CDATA[IF($P$137<=3,Lookups!$C12,IF(P$137<=4,Lookups!$E12,IF(P$137<=5,Lookups!$G12,IF(P$137<=10,$I12,IF(P$137<=15,Lookups!$K12,IF(P$137<=20,Lookups!$M12,Lookups!$O12))))))]]></f>
        <v>0.4</v>
      </c>
      <c r="P146" s="36">
        <f><![CDATA[IF(P$137<=3,Lookups!$D12,IF(P$137<=4,Lookups!$F12,IF(P$137<=5,Lookups!$H12,IF(P$137<=10,$J12,IF(P$137<=15,Lookups!$L12,IF(P$137<=20,Lookups!$N12,Lookups!$P12))))))]]></f>
        <v>0</v>
      </c>
    </row>
    <row r="147" spans="2:16" x14ac:dyDescent="0.25">
      <c r="B147" s="18">
        <v>700000</v>
      </c>
      <c r="C147" s="20">
        <f><![CDATA[IF($D$137<=3,Lookups!$C13,IF(D$137<=4,Lookups!$E13,IF(D$137<=5,Lookups!$G13,IF(D$137<=10,$I13,IF(D$137<=15,Lookups!$K13,IF(D$137<=20,Lookups!$M13,Lookups!$O13))))))]]></f>
        <v>0.4</v>
      </c>
      <c r="D147" s="36">
        <f><![CDATA[IF(D$137<=3,Lookups!$D13,IF(D$137<=4,Lookups!$F13,IF(D$137<=5,Lookups!$H13,IF(D$137<=10,$J13,IF(D$137<=15,Lookups!$L13,IF(D$137<=20,Lookups!$N13,Lookups!$P13))))))]]></f>
        <v>0</v>
      </c>
      <c r="E147" s="20">
        <f><![CDATA[IF($F$137<=3,Lookups!$C13,IF(F$137<=4,Lookups!$E13,IF(F$137<=5,Lookups!$G13,IF(F$137<=10,$I13,IF(F$137<=15,Lookups!$K13,IF(F$137<=20,Lookups!$M13,Lookups!$O13))))))]]></f>
        <v>0.4</v>
      </c>
      <c r="F147" s="36">
        <f><![CDATA[IF(F$137<=3,Lookups!$D13,IF(F$137<=4,Lookups!$F13,IF(F$137<=5,Lookups!$H13,IF(F$137<=10,$J13,IF(F$137<=15,Lookups!$L13,IF(F$137<=20,Lookups!$N13,Lookups!$P13))))))]]></f>
        <v>0</v>
      </c>
      <c r="G147" s="20">
        <f><![CDATA[IF($H$137<=3,Lookups!$C13,IF(H$137<=4,Lookups!$E13,IF(H$137<=5,Lookups!$G13,IF(H$137<=10,$I13,IF(H$137<=15,Lookups!$K13,IF(H$137<=20,Lookups!$M13,Lookups!$O13))))))]]></f>
        <v>0.4</v>
      </c>
      <c r="H147" s="36">
        <f><![CDATA[IF(H$137<=3,Lookups!$D13,IF(H$137<=4,Lookups!$F13,IF(H$137<=5,Lookups!$H13,IF(H$137<=10,$J13,IF(H$137<=15,Lookups!$L13,IF(H$137<=20,Lookups!$N13,Lookups!$P13))))))]]></f>
        <v>0</v>
      </c>
      <c r="I147" s="20">
        <f><![CDATA[IF($J$137<=3,Lookups!$C13,IF(J$137<=4,Lookups!$E13,IF(J$137<=5,Lookups!$G13,IF(J$137<=10,$I13,IF(J$137<=15,Lookups!$K13,IF(J$137<=20,Lookups!$M13,Lookups!$O13))))))]]></f>
        <v>0.4</v>
      </c>
      <c r="J147" s="36">
        <f><![CDATA[IF(J$137<=3,Lookups!$D13,IF(J$137<=4,Lookups!$F13,IF(J$137<=5,Lookups!$H13,IF(J$137<=10,$J13,IF(J$137<=15,Lookups!$L13,IF(J$137<=20,Lookups!$N13,Lookups!$P13))))))]]></f>
        <v>0</v>
      </c>
      <c r="K147" s="20">
        <f><![CDATA[IF($L$137<=3,Lookups!$C13,IF(L$137<=4,Lookups!$E13,IF(L$137<=5,Lookups!$G13,IF(L$137<=10,$I13,IF(L$137<=15,Lookups!$K13,IF(L$137<=20,Lookups!$M13,Lookups!$O13))))))]]></f>
        <v>0.4</v>
      </c>
      <c r="L147" s="36">
        <f><![CDATA[IF(L$137<=3,Lookups!$D13,IF(L$137<=4,Lookups!$F13,IF(L$137<=5,Lookups!$H13,IF(L$137<=10,$J13,IF(L$137<=15,Lookups!$L13,IF(L$137<=20,Lookups!$N13,Lookups!$P13))))))]]></f>
        <v>0</v>
      </c>
      <c r="M147" s="20">
        <f><![CDATA[IF($N$137<=3,Lookups!$C13,IF(N$137<=4,Lookups!$E13,IF(N$137<=5,Lookups!$G13,IF(N$137<=10,$I13,IF(N$137<=15,Lookups!$K13,IF(N$137<=20,Lookups!$M13,Lookups!$O13))))))]]></f>
        <v>0.4</v>
      </c>
      <c r="N147" s="36">
        <f><![CDATA[IF(N$137<=3,Lookups!$D13,IF(N$137<=4,Lookups!$F13,IF(N$137<=5,Lookups!$H13,IF(N$137<=10,$J13,IF(N$137<=15,Lookups!$L13,IF(N$137<=20,Lookups!$N13,Lookups!$P13))))))]]></f>
        <v>0</v>
      </c>
      <c r="O147" s="20">
        <f><![CDATA[IF($P$137<=3,Lookups!$C13,IF(P$137<=4,Lookups!$E13,IF(P$137<=5,Lookups!$G13,IF(P$137<=10,$I13,IF(P$137<=15,Lookups!$K13,IF(P$137<=20,Lookups!$M13,Lookups!$O13))))))]]></f>
        <v>0.4</v>
      </c>
      <c r="P147" s="36">
        <f><![CDATA[IF(P$137<=3,Lookups!$D13,IF(P$137<=4,Lookups!$F13,IF(P$137<=5,Lookups!$H13,IF(P$137<=10,$J13,IF(P$137<=15,Lookups!$L13,IF(P$137<=20,Lookups!$N13,Lookups!$P13))))))]]></f>
        <v>0</v>
      </c>
    </row>
    <row r="148" spans="2:16" x14ac:dyDescent="0.25">
      <c r="B148" s="18">
        <v>800000</v>
      </c>
      <c r="C148" s="20">
        <f><![CDATA[IF($D$137<=3,Lookups!$C14,IF(D$137<=4,Lookups!$E14,IF(D$137<=5,Lookups!$G14,IF(D$137<=10,$I14,IF(D$137<=15,Lookups!$K14,IF(D$137<=20,Lookups!$M14,Lookups!$O14))))))]]></f>
        <v>0.4</v>
      </c>
      <c r="D148" s="36">
        <f><![CDATA[IF(D$137<=3,Lookups!$D14,IF(D$137<=4,Lookups!$F14,IF(D$137<=5,Lookups!$H14,IF(D$137<=10,$J14,IF(D$137<=15,Lookups!$L14,IF(D$137<=20,Lookups!$N14,Lookups!$P14))))))]]></f>
        <v>0</v>
      </c>
      <c r="E148" s="20">
        <f><![CDATA[IF($F$137<=3,Lookups!$C14,IF(F$137<=4,Lookups!$E14,IF(F$137<=5,Lookups!$G14,IF(F$137<=10,$I14,IF(F$137<=15,Lookups!$K14,IF(F$137<=20,Lookups!$M14,Lookups!$O14))))))]]></f>
        <v>0.4</v>
      </c>
      <c r="F148" s="36">
        <f><![CDATA[IF(F$137<=3,Lookups!$D14,IF(F$137<=4,Lookups!$F14,IF(F$137<=5,Lookups!$H14,IF(F$137<=10,$J14,IF(F$137<=15,Lookups!$L14,IF(F$137<=20,Lookups!$N14,Lookups!$P14))))))]]></f>
        <v>0</v>
      </c>
      <c r="G148" s="20">
        <f><![CDATA[IF($H$137<=3,Lookups!$C14,IF(H$137<=4,Lookups!$E14,IF(H$137<=5,Lookups!$G14,IF(H$137<=10,$I14,IF(H$137<=15,Lookups!$K14,IF(H$137<=20,Lookups!$M14,Lookups!$O14))))))]]></f>
        <v>0.4</v>
      </c>
      <c r="H148" s="36">
        <f><![CDATA[IF(H$137<=3,Lookups!$D14,IF(H$137<=4,Lookups!$F14,IF(H$137<=5,Lookups!$H14,IF(H$137<=10,$J14,IF(H$137<=15,Lookups!$L14,IF(H$137<=20,Lookups!$N14,Lookups!$P14))))))]]></f>
        <v>0</v>
      </c>
      <c r="I148" s="20">
        <f><![CDATA[IF($J$137<=3,Lookups!$C14,IF(J$137<=4,Lookups!$E14,IF(J$137<=5,Lookups!$G14,IF(J$137<=10,$I14,IF(J$137<=15,Lookups!$K14,IF(J$137<=20,Lookups!$M14,Lookups!$O14))))))]]></f>
        <v>0.4</v>
      </c>
      <c r="J148" s="36">
        <f><![CDATA[IF(J$137<=3,Lookups!$D14,IF(J$137<=4,Lookups!$F14,IF(J$137<=5,Lookups!$H14,IF(J$137<=10,$J14,IF(J$137<=15,Lookups!$L14,IF(J$137<=20,Lookups!$N14,Lookups!$P14))))))]]></f>
        <v>0</v>
      </c>
      <c r="K148" s="20">
        <f><![CDATA[IF($L$137<=3,Lookups!$C14,IF(L$137<=4,Lookups!$E14,IF(L$137<=5,Lookups!$G14,IF(L$137<=10,$I14,IF(L$137<=15,Lookups!$K14,IF(L$137<=20,Lookups!$M14,Lookups!$O14))))))]]></f>
        <v>0.4</v>
      </c>
      <c r="L148" s="36">
        <f><![CDATA[IF(L$137<=3,Lookups!$D14,IF(L$137<=4,Lookups!$F14,IF(L$137<=5,Lookups!$H14,IF(L$137<=10,$J14,IF(L$137<=15,Lookups!$L14,IF(L$137<=20,Lookups!$N14,Lookups!$P14))))))]]></f>
        <v>0</v>
      </c>
      <c r="M148" s="20">
        <f><![CDATA[IF($N$137<=3,Lookups!$C14,IF(N$137<=4,Lookups!$E14,IF(N$137<=5,Lookups!$G14,IF(N$137<=10,$I14,IF(N$137<=15,Lookups!$K14,IF(N$137<=20,Lookups!$M14,Lookups!$O14))))))]]></f>
        <v>0.4</v>
      </c>
      <c r="N148" s="36">
        <f><![CDATA[IF(N$137<=3,Lookups!$D14,IF(N$137<=4,Lookups!$F14,IF(N$137<=5,Lookups!$H14,IF(N$137<=10,$J14,IF(N$137<=15,Lookups!$L14,IF(N$137<=20,Lookups!$N14,Lookups!$P14))))))]]></f>
        <v>0</v>
      </c>
      <c r="O148" s="20">
        <f><![CDATA[IF($P$137<=3,Lookups!$C14,IF(P$137<=4,Lookups!$E14,IF(P$137<=5,Lookups!$G14,IF(P$137<=10,$I14,IF(P$137<=15,Lookups!$K14,IF(P$137<=20,Lookups!$M14,Lookups!$O14))))))]]></f>
        <v>0.4</v>
      </c>
      <c r="P148" s="36">
        <f><![CDATA[IF(P$137<=3,Lookups!$D14,IF(P$137<=4,Lookups!$F14,IF(P$137<=5,Lookups!$H14,IF(P$137<=10,$J14,IF(P$137<=15,Lookups!$L14,IF(P$137<=20,Lookups!$N14,Lookups!$P14))))))]]></f>
        <v>0</v>
      </c>
    </row>
    <row r="149" spans="2:16" x14ac:dyDescent="0.25">
      <c r="B149" s="18">
        <v>900000</v>
      </c>
      <c r="C149" s="20">
        <f><![CDATA[IF($D$137<=3,Lookups!$C15,IF(D$137<=4,Lookups!$E15,IF(D$137<=5,Lookups!$G15,IF(D$137<=10,$I15,IF(D$137<=15,Lookups!$K15,IF(D$137<=20,Lookups!$M15,Lookups!$O15))))))]]></f>
        <v>0.4</v>
      </c>
      <c r="D149" s="36">
        <f><![CDATA[IF(D$137<=3,Lookups!$D15,IF(D$137<=4,Lookups!$F15,IF(D$137<=5,Lookups!$H15,IF(D$137<=10,$J15,IF(D$137<=15,Lookups!$L15,IF(D$137<=20,Lookups!$N15,Lookups!$P15))))))]]></f>
        <v>0</v>
      </c>
      <c r="E149" s="20">
        <f><![CDATA[IF($F$137<=3,Lookups!$C15,IF(F$137<=4,Lookups!$E15,IF(F$137<=5,Lookups!$G15,IF(F$137<=10,$I15,IF(F$137<=15,Lookups!$K15,IF(F$137<=20,Lookups!$M15,Lookups!$O15))))))]]></f>
        <v>0.4</v>
      </c>
      <c r="F149" s="36">
        <f><![CDATA[IF(F$137<=3,Lookups!$D15,IF(F$137<=4,Lookups!$F15,IF(F$137<=5,Lookups!$H15,IF(F$137<=10,$J15,IF(F$137<=15,Lookups!$L15,IF(F$137<=20,Lookups!$N15,Lookups!$P15))))))]]></f>
        <v>0</v>
      </c>
      <c r="G149" s="20">
        <f><![CDATA[IF($H$137<=3,Lookups!$C15,IF(H$137<=4,Lookups!$E15,IF(H$137<=5,Lookups!$G15,IF(H$137<=10,$I15,IF(H$137<=15,Lookups!$K15,IF(H$137<=20,Lookups!$M15,Lookups!$O15))))))]]></f>
        <v>0.4</v>
      </c>
      <c r="H149" s="36">
        <f><![CDATA[IF(H$137<=3,Lookups!$D15,IF(H$137<=4,Lookups!$F15,IF(H$137<=5,Lookups!$H15,IF(H$137<=10,$J15,IF(H$137<=15,Lookups!$L15,IF(H$137<=20,Lookups!$N15,Lookups!$P15))))))]]></f>
        <v>0</v>
      </c>
      <c r="I149" s="20">
        <f><![CDATA[IF($J$137<=3,Lookups!$C15,IF(J$137<=4,Lookups!$E15,IF(J$137<=5,Lookups!$G15,IF(J$137<=10,$I15,IF(J$137<=15,Lookups!$K15,IF(J$137<=20,Lookups!$M15,Lookups!$O15))))))]]></f>
        <v>0.4</v>
      </c>
      <c r="J149" s="36">
        <f><![CDATA[IF(J$137<=3,Lookups!$D15,IF(J$137<=4,Lookups!$F15,IF(J$137<=5,Lookups!$H15,IF(J$137<=10,$J15,IF(J$137<=15,Lookups!$L15,IF(J$137<=20,Lookups!$N15,Lookups!$P15))))))]]></f>
        <v>0</v>
      </c>
      <c r="K149" s="20">
        <f><![CDATA[IF($L$137<=3,Lookups!$C15,IF(L$137<=4,Lookups!$E15,IF(L$137<=5,Lookups!$G15,IF(L$137<=10,$I15,IF(L$137<=15,Lookups!$K15,IF(L$137<=20,Lookups!$M15,Lookups!$O15))))))]]></f>
        <v>0.4</v>
      </c>
      <c r="L149" s="36">
        <f><![CDATA[IF(L$137<=3,Lookups!$D15,IF(L$137<=4,Lookups!$F15,IF(L$137<=5,Lookups!$H15,IF(L$137<=10,$J15,IF(L$137<=15,Lookups!$L15,IF(L$137<=20,Lookups!$N15,Lookups!$P15))))))]]></f>
        <v>0</v>
      </c>
      <c r="M149" s="20">
        <f><![CDATA[IF($N$137<=3,Lookups!$C15,IF(N$137<=4,Lookups!$E15,IF(N$137<=5,Lookups!$G15,IF(N$137<=10,$I15,IF(N$137<=15,Lookups!$K15,IF(N$137<=20,Lookups!$M15,Lookups!$O15))))))]]></f>
        <v>0.4</v>
      </c>
      <c r="N149" s="36">
        <f><![CDATA[IF(N$137<=3,Lookups!$D15,IF(N$137<=4,Lookups!$F15,IF(N$137<=5,Lookups!$H15,IF(N$137<=10,$J15,IF(N$137<=15,Lookups!$L15,IF(N$137<=20,Lookups!$N15,Lookups!$P15))))))]]></f>
        <v>0</v>
      </c>
      <c r="O149" s="20">
        <f><![CDATA[IF($P$137<=3,Lookups!$C15,IF(P$137<=4,Lookups!$E15,IF(P$137<=5,Lookups!$G15,IF(P$137<=10,$I15,IF(P$137<=15,Lookups!$K15,IF(P$137<=20,Lookups!$M15,Lookups!$O15))))))]]></f>
        <v>0.4</v>
      </c>
      <c r="P149" s="36">
        <f><![CDATA[IF(P$137<=3,Lookups!$D15,IF(P$137<=4,Lookups!$F15,IF(P$137<=5,Lookups!$H15,IF(P$137<=10,$J15,IF(P$137<=15,Lookups!$L15,IF(P$137<=20,Lookups!$N15,Lookups!$P15))))))]]></f>
        <v>0</v>
      </c>
    </row>
    <row r="150" spans="2:16" x14ac:dyDescent="0.25">
      <c r="B150" s="18">
        <v>1000000</v>
      </c>
      <c r="C150" s="20">
        <f><![CDATA[IF($D$137<=3,Lookups!$C16,IF(D$137<=4,Lookups!$E16,IF(D$137<=5,Lookups!$G16,IF(D$137<=10,$I16,IF(D$137<=15,Lookups!$K16,IF(D$137<=20,Lookups!$M16,Lookups!$O16))))))]]></f>
        <v>0.4</v>
      </c>
      <c r="D150" s="36">
        <f><![CDATA[IF(D$137<=3,Lookups!$D16,IF(D$137<=4,Lookups!$F16,IF(D$137<=5,Lookups!$H16,IF(D$137<=10,$J16,IF(D$137<=15,Lookups!$L16,IF(D$137<=20,Lookups!$N16,Lookups!$P16))))))]]></f>
        <v>0</v>
      </c>
      <c r="E150" s="20">
        <f><![CDATA[IF($F$137<=3,Lookups!$C16,IF(F$137<=4,Lookups!$E16,IF(F$137<=5,Lookups!$G16,IF(F$137<=10,$I16,IF(F$137<=15,Lookups!$K16,IF(F$137<=20,Lookups!$M16,Lookups!$O16))))))]]></f>
        <v>0.4</v>
      </c>
      <c r="F150" s="36">
        <f><![CDATA[IF(F$137<=3,Lookups!$D16,IF(F$137<=4,Lookups!$F16,IF(F$137<=5,Lookups!$H16,IF(F$137<=10,$J16,IF(F$137<=15,Lookups!$L16,IF(F$137<=20,Lookups!$N16,Lookups!$P16))))))]]></f>
        <v>0</v>
      </c>
      <c r="G150" s="20">
        <f><![CDATA[IF($H$137<=3,Lookups!$C16,IF(H$137<=4,Lookups!$E16,IF(H$137<=5,Lookups!$G16,IF(H$137<=10,$I16,IF(H$137<=15,Lookups!$K16,IF(H$137<=20,Lookups!$M16,Lookups!$O16))))))]]></f>
        <v>0.4</v>
      </c>
      <c r="H150" s="36">
        <f><![CDATA[IF(H$137<=3,Lookups!$D16,IF(H$137<=4,Lookups!$F16,IF(H$137<=5,Lookups!$H16,IF(H$137<=10,$J16,IF(H$137<=15,Lookups!$L16,IF(H$137<=20,Lookups!$N16,Lookups!$P16))))))]]></f>
        <v>0</v>
      </c>
      <c r="I150" s="20">
        <f><![CDATA[IF($J$137<=3,Lookups!$C16,IF(J$137<=4,Lookups!$E16,IF(J$137<=5,Lookups!$G16,IF(J$137<=10,$I16,IF(J$137<=15,Lookups!$K16,IF(J$137<=20,Lookups!$M16,Lookups!$O16))))))]]></f>
        <v>0.4</v>
      </c>
      <c r="J150" s="36">
        <f><![CDATA[IF(J$137<=3,Lookups!$D16,IF(J$137<=4,Lookups!$F16,IF(J$137<=5,Lookups!$H16,IF(J$137<=10,$J16,IF(J$137<=15,Lookups!$L16,IF(J$137<=20,Lookups!$N16,Lookups!$P16))))))]]></f>
        <v>0</v>
      </c>
      <c r="K150" s="20">
        <f><![CDATA[IF($L$137<=3,Lookups!$C16,IF(L$137<=4,Lookups!$E16,IF(L$137<=5,Lookups!$G16,IF(L$137<=10,$I16,IF(L$137<=15,Lookups!$K16,IF(L$137<=20,Lookups!$M16,Lookups!$O16))))))]]></f>
        <v>0.4</v>
      </c>
      <c r="L150" s="36">
        <f><![CDATA[IF(L$137<=3,Lookups!$D16,IF(L$137<=4,Lookups!$F16,IF(L$137<=5,Lookups!$H16,IF(L$137<=10,$J16,IF(L$137<=15,Lookups!$L16,IF(L$137<=20,Lookups!$N16,Lookups!$P16))))))]]></f>
        <v>0</v>
      </c>
      <c r="M150" s="20">
        <f><![CDATA[IF($N$137<=3,Lookups!$C16,IF(N$137<=4,Lookups!$E16,IF(N$137<=5,Lookups!$G16,IF(N$137<=10,$I16,IF(N$137<=15,Lookups!$K16,IF(N$137<=20,Lookups!$M16,Lookups!$O16))))))]]></f>
        <v>0.4</v>
      </c>
      <c r="N150" s="36">
        <f><![CDATA[IF(N$137<=3,Lookups!$D16,IF(N$137<=4,Lookups!$F16,IF(N$137<=5,Lookups!$H16,IF(N$137<=10,$J16,IF(N$137<=15,Lookups!$L16,IF(N$137<=20,Lookups!$N16,Lookups!$P16))))))]]></f>
        <v>0</v>
      </c>
      <c r="O150" s="20">
        <f><![CDATA[IF($P$137<=3,Lookups!$C16,IF(P$137<=4,Lookups!$E16,IF(P$137<=5,Lookups!$G16,IF(P$137<=10,$I16,IF(P$137<=15,Lookups!$K16,IF(P$137<=20,Lookups!$M16,Lookups!$O16))))))]]></f>
        <v>0.4</v>
      </c>
      <c r="P150" s="36">
        <f><![CDATA[IF(P$137<=3,Lookups!$D16,IF(P$137<=4,Lookups!$F16,IF(P$137<=5,Lookups!$H16,IF(P$137<=10,$J16,IF(P$137<=15,Lookups!$L16,IF(P$137<=20,Lookups!$N16,Lookups!$P16))))))]]></f>
        <v>0</v>
      </c>
    </row>
    <row r="151" spans="2:16" x14ac:dyDescent="0.25">
      <c r="B151" s="18">
        <v>1100000</v>
      </c>
      <c r="C151" s="20">
        <f><![CDATA[IF($D$137<=3,Lookups!$C17,IF(D$137<=4,Lookups!$E17,IF(D$137<=5,Lookups!$G17,IF(D$137<=10,$I17,IF(D$137<=15,Lookups!$K17,IF(D$137<=20,Lookups!$M17,Lookups!$O17))))))]]></f>
        <v>0.4</v>
      </c>
      <c r="D151" s="36">
        <f><![CDATA[IF(D$137<=3,Lookups!$D17,IF(D$137<=4,Lookups!$F17,IF(D$137<=5,Lookups!$H17,IF(D$137<=10,$J17,IF(D$137<=15,Lookups!$L17,IF(D$137<=20,Lookups!$N17,Lookups!$P17))))))]]></f>
        <v>0.01</v>
      </c>
      <c r="E151" s="20">
        <f><![CDATA[IF($F$137<=3,Lookups!$C17,IF(F$137<=4,Lookups!$E17,IF(F$137<=5,Lookups!$G17,IF(F$137<=10,$I17,IF(F$137<=15,Lookups!$K17,IF(F$137<=20,Lookups!$M17,Lookups!$O17))))))]]></f>
        <v>0.4</v>
      </c>
      <c r="F151" s="36">
        <f><![CDATA[IF(F$137<=3,Lookups!$D17,IF(F$137<=4,Lookups!$F17,IF(F$137<=5,Lookups!$H17,IF(F$137<=10,$J17,IF(F$137<=15,Lookups!$L17,IF(F$137<=20,Lookups!$N17,Lookups!$P17))))))]]></f>
        <v>0.01</v>
      </c>
      <c r="G151" s="20">
        <f><![CDATA[IF($H$137<=3,Lookups!$C17,IF(H$137<=4,Lookups!$E17,IF(H$137<=5,Lookups!$G17,IF(H$137<=10,$I17,IF(H$137<=15,Lookups!$K17,IF(H$137<=20,Lookups!$M17,Lookups!$O17))))))]]></f>
        <v>0.4</v>
      </c>
      <c r="H151" s="36">
        <f><![CDATA[IF(H$137<=3,Lookups!$D17,IF(H$137<=4,Lookups!$F17,IF(H$137<=5,Lookups!$H17,IF(H$137<=10,$J17,IF(H$137<=15,Lookups!$L17,IF(H$137<=20,Lookups!$N17,Lookups!$P17))))))]]></f>
        <v>0.01</v>
      </c>
      <c r="I151" s="20">
        <f><![CDATA[IF($J$137<=3,Lookups!$C17,IF(J$137<=4,Lookups!$E17,IF(J$137<=5,Lookups!$G17,IF(J$137<=10,$I17,IF(J$137<=15,Lookups!$K17,IF(J$137<=20,Lookups!$M17,Lookups!$O17))))))]]></f>
        <v>0.4</v>
      </c>
      <c r="J151" s="36">
        <f><![CDATA[IF(J$137<=3,Lookups!$D17,IF(J$137<=4,Lookups!$F17,IF(J$137<=5,Lookups!$H17,IF(J$137<=10,$J17,IF(J$137<=15,Lookups!$L17,IF(J$137<=20,Lookups!$N17,Lookups!$P17))))))]]></f>
        <v>0.01</v>
      </c>
      <c r="K151" s="20">
        <f><![CDATA[IF($L$137<=3,Lookups!$C17,IF(L$137<=4,Lookups!$E17,IF(L$137<=5,Lookups!$G17,IF(L$137<=10,$I17,IF(L$137<=15,Lookups!$K17,IF(L$137<=20,Lookups!$M17,Lookups!$O17))))))]]></f>
        <v>0.4</v>
      </c>
      <c r="L151" s="36">
        <f><![CDATA[IF(L$137<=3,Lookups!$D17,IF(L$137<=4,Lookups!$F17,IF(L$137<=5,Lookups!$H17,IF(L$137<=10,$J17,IF(L$137<=15,Lookups!$L17,IF(L$137<=20,Lookups!$N17,Lookups!$P17))))))]]></f>
        <v>0.01</v>
      </c>
      <c r="M151" s="20">
        <f><![CDATA[IF($N$137<=3,Lookups!$C17,IF(N$137<=4,Lookups!$E17,IF(N$137<=5,Lookups!$G17,IF(N$137<=10,$I17,IF(N$137<=15,Lookups!$K17,IF(N$137<=20,Lookups!$M17,Lookups!$O17))))))]]></f>
        <v>0.4</v>
      </c>
      <c r="N151" s="36">
        <f><![CDATA[IF(N$137<=3,Lookups!$D17,IF(N$137<=4,Lookups!$F17,IF(N$137<=5,Lookups!$H17,IF(N$137<=10,$J17,IF(N$137<=15,Lookups!$L17,IF(N$137<=20,Lookups!$N17,Lookups!$P17))))))]]></f>
        <v>0.01</v>
      </c>
      <c r="O151" s="20">
        <f><![CDATA[IF($P$137<=3,Lookups!$C17,IF(P$137<=4,Lookups!$E17,IF(P$137<=5,Lookups!$G17,IF(P$137<=10,$I17,IF(P$137<=15,Lookups!$K17,IF(P$137<=20,Lookups!$M17,Lookups!$O17))))))]]></f>
        <v>0.4</v>
      </c>
      <c r="P151" s="36">
        <f><![CDATA[IF(P$137<=3,Lookups!$D17,IF(P$137<=4,Lookups!$F17,IF(P$137<=5,Lookups!$H17,IF(P$137<=10,$J17,IF(P$137<=15,Lookups!$L17,IF(P$137<=20,Lookups!$N17,Lookups!$P17))))))]]></f>
        <v>0.01</v>
      </c>
    </row>
    <row r="152" spans="2:16" x14ac:dyDescent="0.25">
      <c r="B152" s="18">
        <v>1200000</v>
      </c>
      <c r="C152" s="20">
        <f><![CDATA[IF($D$137<=3,Lookups!$C18,IF(D$137<=4,Lookups!$E18,IF(D$137<=5,Lookups!$G18,IF(D$137<=10,$I18,IF(D$137<=15,Lookups!$K18,IF(D$137<=20,Lookups!$M18,Lookups!$O18))))))]]></f>
        <v>0.4</v>
      </c>
      <c r="D152" s="36">
        <f><![CDATA[IF(D$137<=3,Lookups!$D18,IF(D$137<=4,Lookups!$F18,IF(D$137<=5,Lookups!$H18,IF(D$137<=10,$J18,IF(D$137<=15,Lookups!$L18,IF(D$137<=20,Lookups!$N18,Lookups!$P18))))))]]></f>
        <v>0.01</v>
      </c>
      <c r="E152" s="20">
        <f><![CDATA[IF($F$137<=3,Lookups!$C18,IF(F$137<=4,Lookups!$E18,IF(F$137<=5,Lookups!$G18,IF(F$137<=10,$I18,IF(F$137<=15,Lookups!$K18,IF(F$137<=20,Lookups!$M18,Lookups!$O18))))))]]></f>
        <v>0.4</v>
      </c>
      <c r="F152" s="36">
        <f><![CDATA[IF(F$137<=3,Lookups!$D18,IF(F$137<=4,Lookups!$F18,IF(F$137<=5,Lookups!$H18,IF(F$137<=10,$J18,IF(F$137<=15,Lookups!$L18,IF(F$137<=20,Lookups!$N18,Lookups!$P18))))))]]></f>
        <v>0.01</v>
      </c>
      <c r="G152" s="20">
        <f><![CDATA[IF($H$137<=3,Lookups!$C18,IF(H$137<=4,Lookups!$E18,IF(H$137<=5,Lookups!$G18,IF(H$137<=10,$I18,IF(H$137<=15,Lookups!$K18,IF(H$137<=20,Lookups!$M18,Lookups!$O18))))))]]></f>
        <v>0.4</v>
      </c>
      <c r="H152" s="36">
        <f><![CDATA[IF(H$137<=3,Lookups!$D18,IF(H$137<=4,Lookups!$F18,IF(H$137<=5,Lookups!$H18,IF(H$137<=10,$J18,IF(H$137<=15,Lookups!$L18,IF(H$137<=20,Lookups!$N18,Lookups!$P18))))))]]></f>
        <v>0.01</v>
      </c>
      <c r="I152" s="20">
        <f><![CDATA[IF($J$137<=3,Lookups!$C18,IF(J$137<=4,Lookups!$E18,IF(J$137<=5,Lookups!$G18,IF(J$137<=10,$I18,IF(J$137<=15,Lookups!$K18,IF(J$137<=20,Lookups!$M18,Lookups!$O18))))))]]></f>
        <v>0.4</v>
      </c>
      <c r="J152" s="36">
        <f><![CDATA[IF(J$137<=3,Lookups!$D18,IF(J$137<=4,Lookups!$F18,IF(J$137<=5,Lookups!$H18,IF(J$137<=10,$J18,IF(J$137<=15,Lookups!$L18,IF(J$137<=20,Lookups!$N18,Lookups!$P18))))))]]></f>
        <v>0.01</v>
      </c>
      <c r="K152" s="20">
        <f><![CDATA[IF($L$137<=3,Lookups!$C18,IF(L$137<=4,Lookups!$E18,IF(L$137<=5,Lookups!$G18,IF(L$137<=10,$I18,IF(L$137<=15,Lookups!$K18,IF(L$137<=20,Lookups!$M18,Lookups!$O18))))))]]></f>
        <v>0.4</v>
      </c>
      <c r="L152" s="36">
        <f><![CDATA[IF(L$137<=3,Lookups!$D18,IF(L$137<=4,Lookups!$F18,IF(L$137<=5,Lookups!$H18,IF(L$137<=10,$J18,IF(L$137<=15,Lookups!$L18,IF(L$137<=20,Lookups!$N18,Lookups!$P18))))))]]></f>
        <v>0.01</v>
      </c>
      <c r="M152" s="20">
        <f><![CDATA[IF($N$137<=3,Lookups!$C18,IF(N$137<=4,Lookups!$E18,IF(N$137<=5,Lookups!$G18,IF(N$137<=10,$I18,IF(N$137<=15,Lookups!$K18,IF(N$137<=20,Lookups!$M18,Lookups!$O18))))))]]></f>
        <v>0.4</v>
      </c>
      <c r="N152" s="36">
        <f><![CDATA[IF(N$137<=3,Lookups!$D18,IF(N$137<=4,Lookups!$F18,IF(N$137<=5,Lookups!$H18,IF(N$137<=10,$J18,IF(N$137<=15,Lookups!$L18,IF(N$137<=20,Lookups!$N18,Lookups!$P18))))))]]></f>
        <v>0.01</v>
      </c>
      <c r="O152" s="20">
        <f><![CDATA[IF($P$137<=3,Lookups!$C18,IF(P$137<=4,Lookups!$E18,IF(P$137<=5,Lookups!$G18,IF(P$137<=10,$I18,IF(P$137<=15,Lookups!$K18,IF(P$137<=20,Lookups!$M18,Lookups!$O18))))))]]></f>
        <v>0.4</v>
      </c>
      <c r="P152" s="36">
        <f><![CDATA[IF(P$137<=3,Lookups!$D18,IF(P$137<=4,Lookups!$F18,IF(P$137<=5,Lookups!$H18,IF(P$137<=10,$J18,IF(P$137<=15,Lookups!$L18,IF(P$137<=20,Lookups!$N18,Lookups!$P18))))))]]></f>
        <v>0.01</v>
      </c>
    </row>
    <row r="153" spans="2:16" x14ac:dyDescent="0.25">
      <c r="B153" s="18">
        <v>1300000</v>
      </c>
      <c r="C153" s="20">
        <f><![CDATA[IF($D$137<=3,Lookups!$C19,IF(D$137<=4,Lookups!$E19,IF(D$137<=5,Lookups!$G19,IF(D$137<=10,$I19,IF(D$137<=15,Lookups!$K19,IF(D$137<=20,Lookups!$M19,Lookups!$O19))))))]]></f>
        <v>0.4</v>
      </c>
      <c r="D153" s="36">
        <f><![CDATA[IF(D$137<=3,Lookups!$D19,IF(D$137<=4,Lookups!$F19,IF(D$137<=5,Lookups!$H19,IF(D$137<=10,$J19,IF(D$137<=15,Lookups!$L19,IF(D$137<=20,Lookups!$N19,Lookups!$P19))))))]]></f>
        <v>0.01</v>
      </c>
      <c r="E153" s="20">
        <f><![CDATA[IF($F$137<=3,Lookups!$C19,IF(F$137<=4,Lookups!$E19,IF(F$137<=5,Lookups!$G19,IF(F$137<=10,$I19,IF(F$137<=15,Lookups!$K19,IF(F$137<=20,Lookups!$M19,Lookups!$O19))))))]]></f>
        <v>0.4</v>
      </c>
      <c r="F153" s="36">
        <f><![CDATA[IF(F$137<=3,Lookups!$D19,IF(F$137<=4,Lookups!$F19,IF(F$137<=5,Lookups!$H19,IF(F$137<=10,$J19,IF(F$137<=15,Lookups!$L19,IF(F$137<=20,Lookups!$N19,Lookups!$P19))))))]]></f>
        <v>0.01</v>
      </c>
      <c r="G153" s="20">
        <f><![CDATA[IF($H$137<=3,Lookups!$C19,IF(H$137<=4,Lookups!$E19,IF(H$137<=5,Lookups!$G19,IF(H$137<=10,$I19,IF(H$137<=15,Lookups!$K19,IF(H$137<=20,Lookups!$M19,Lookups!$O19))))))]]></f>
        <v>0.4</v>
      </c>
      <c r="H153" s="36">
        <f><![CDATA[IF(H$137<=3,Lookups!$D19,IF(H$137<=4,Lookups!$F19,IF(H$137<=5,Lookups!$H19,IF(H$137<=10,$J19,IF(H$137<=15,Lookups!$L19,IF(H$137<=20,Lookups!$N19,Lookups!$P19))))))]]></f>
        <v>0.01</v>
      </c>
      <c r="I153" s="20">
        <f><![CDATA[IF($J$137<=3,Lookups!$C19,IF(J$137<=4,Lookups!$E19,IF(J$137<=5,Lookups!$G19,IF(J$137<=10,$I19,IF(J$137<=15,Lookups!$K19,IF(J$137<=20,Lookups!$M19,Lookups!$O19))))))]]></f>
        <v>0.4</v>
      </c>
      <c r="J153" s="36">
        <f><![CDATA[IF(J$137<=3,Lookups!$D19,IF(J$137<=4,Lookups!$F19,IF(J$137<=5,Lookups!$H19,IF(J$137<=10,$J19,IF(J$137<=15,Lookups!$L19,IF(J$137<=20,Lookups!$N19,Lookups!$P19))))))]]></f>
        <v>0.01</v>
      </c>
      <c r="K153" s="20">
        <f><![CDATA[IF($L$137<=3,Lookups!$C19,IF(L$137<=4,Lookups!$E19,IF(L$137<=5,Lookups!$G19,IF(L$137<=10,$I19,IF(L$137<=15,Lookups!$K19,IF(L$137<=20,Lookups!$M19,Lookups!$O19))))))]]></f>
        <v>0.4</v>
      </c>
      <c r="L153" s="36">
        <f><![CDATA[IF(L$137<=3,Lookups!$D19,IF(L$137<=4,Lookups!$F19,IF(L$137<=5,Lookups!$H19,IF(L$137<=10,$J19,IF(L$137<=15,Lookups!$L19,IF(L$137<=20,Lookups!$N19,Lookups!$P19))))))]]></f>
        <v>0.01</v>
      </c>
      <c r="M153" s="20">
        <f><![CDATA[IF($N$137<=3,Lookups!$C19,IF(N$137<=4,Lookups!$E19,IF(N$137<=5,Lookups!$G19,IF(N$137<=10,$I19,IF(N$137<=15,Lookups!$K19,IF(N$137<=20,Lookups!$M19,Lookups!$O19))))))]]></f>
        <v>0.4</v>
      </c>
      <c r="N153" s="36">
        <f><![CDATA[IF(N$137<=3,Lookups!$D19,IF(N$137<=4,Lookups!$F19,IF(N$137<=5,Lookups!$H19,IF(N$137<=10,$J19,IF(N$137<=15,Lookups!$L19,IF(N$137<=20,Lookups!$N19,Lookups!$P19))))))]]></f>
        <v>0.01</v>
      </c>
      <c r="O153" s="20">
        <f><![CDATA[IF($P$137<=3,Lookups!$C19,IF(P$137<=4,Lookups!$E19,IF(P$137<=5,Lookups!$G19,IF(P$137<=10,$I19,IF(P$137<=15,Lookups!$K19,IF(P$137<=20,Lookups!$M19,Lookups!$O19))))))]]></f>
        <v>0.4</v>
      </c>
      <c r="P153" s="36">
        <f><![CDATA[IF(P$137<=3,Lookups!$D19,IF(P$137<=4,Lookups!$F19,IF(P$137<=5,Lookups!$H19,IF(P$137<=10,$J19,IF(P$137<=15,Lookups!$L19,IF(P$137<=20,Lookups!$N19,Lookups!$P19))))))]]></f>
        <v>0.01</v>
      </c>
    </row>
    <row r="154" spans="2:16" x14ac:dyDescent="0.25">
      <c r="B154" s="18">
        <v>1400000</v>
      </c>
      <c r="C154" s="20">
        <f><![CDATA[IF($D$137<=3,Lookups!$C20,IF(D$137<=4,Lookups!$E20,IF(D$137<=5,Lookups!$G20,IF(D$137<=10,$I20,IF(D$137<=15,Lookups!$K20,IF(D$137<=20,Lookups!$M20,Lookups!$O20))))))]]></f>
        <v>0.4</v>
      </c>
      <c r="D154" s="36">
        <f><![CDATA[IF(D$137<=3,Lookups!$D20,IF(D$137<=4,Lookups!$F20,IF(D$137<=5,Lookups!$H20,IF(D$137<=10,$J20,IF(D$137<=15,Lookups!$L20,IF(D$137<=20,Lookups!$N20,Lookups!$P20))))))]]></f>
        <v>0.01</v>
      </c>
      <c r="E154" s="20">
        <f><![CDATA[IF($F$137<=3,Lookups!$C20,IF(F$137<=4,Lookups!$E20,IF(F$137<=5,Lookups!$G20,IF(F$137<=10,$I20,IF(F$137<=15,Lookups!$K20,IF(F$137<=20,Lookups!$M20,Lookups!$O20))))))]]></f>
        <v>0.4</v>
      </c>
      <c r="F154" s="36">
        <f><![CDATA[IF(F$137<=3,Lookups!$D20,IF(F$137<=4,Lookups!$F20,IF(F$137<=5,Lookups!$H20,IF(F$137<=10,$J20,IF(F$137<=15,Lookups!$L20,IF(F$137<=20,Lookups!$N20,Lookups!$P20))))))]]></f>
        <v>0.01</v>
      </c>
      <c r="G154" s="20">
        <f><![CDATA[IF($H$137<=3,Lookups!$C20,IF(H$137<=4,Lookups!$E20,IF(H$137<=5,Lookups!$G20,IF(H$137<=10,$I20,IF(H$137<=15,Lookups!$K20,IF(H$137<=20,Lookups!$M20,Lookups!$O20))))))]]></f>
        <v>0.4</v>
      </c>
      <c r="H154" s="36">
        <f><![CDATA[IF(H$137<=3,Lookups!$D20,IF(H$137<=4,Lookups!$F20,IF(H$137<=5,Lookups!$H20,IF(H$137<=10,$J20,IF(H$137<=15,Lookups!$L20,IF(H$137<=20,Lookups!$N20,Lookups!$P20))))))]]></f>
        <v>0.01</v>
      </c>
      <c r="I154" s="20">
        <f><![CDATA[IF($J$137<=3,Lookups!$C20,IF(J$137<=4,Lookups!$E20,IF(J$137<=5,Lookups!$G20,IF(J$137<=10,$I20,IF(J$137<=15,Lookups!$K20,IF(J$137<=20,Lookups!$M20,Lookups!$O20))))))]]></f>
        <v>0.4</v>
      </c>
      <c r="J154" s="36">
        <f><![CDATA[IF(J$137<=3,Lookups!$D20,IF(J$137<=4,Lookups!$F20,IF(J$137<=5,Lookups!$H20,IF(J$137<=10,$J20,IF(J$137<=15,Lookups!$L20,IF(J$137<=20,Lookups!$N20,Lookups!$P20))))))]]></f>
        <v>0.01</v>
      </c>
      <c r="K154" s="20">
        <f><![CDATA[IF($L$137<=3,Lookups!$C20,IF(L$137<=4,Lookups!$E20,IF(L$137<=5,Lookups!$G20,IF(L$137<=10,$I20,IF(L$137<=15,Lookups!$K20,IF(L$137<=20,Lookups!$M20,Lookups!$O20))))))]]></f>
        <v>0.4</v>
      </c>
      <c r="L154" s="36">
        <f><![CDATA[IF(L$137<=3,Lookups!$D20,IF(L$137<=4,Lookups!$F20,IF(L$137<=5,Lookups!$H20,IF(L$137<=10,$J20,IF(L$137<=15,Lookups!$L20,IF(L$137<=20,Lookups!$N20,Lookups!$P20))))))]]></f>
        <v>0.01</v>
      </c>
      <c r="M154" s="20">
        <f><![CDATA[IF($N$137<=3,Lookups!$C20,IF(N$137<=4,Lookups!$E20,IF(N$137<=5,Lookups!$G20,IF(N$137<=10,$I20,IF(N$137<=15,Lookups!$K20,IF(N$137<=20,Lookups!$M20,Lookups!$O20))))))]]></f>
        <v>0.4</v>
      </c>
      <c r="N154" s="36">
        <f><![CDATA[IF(N$137<=3,Lookups!$D20,IF(N$137<=4,Lookups!$F20,IF(N$137<=5,Lookups!$H20,IF(N$137<=10,$J20,IF(N$137<=15,Lookups!$L20,IF(N$137<=20,Lookups!$N20,Lookups!$P20))))))]]></f>
        <v>0.01</v>
      </c>
      <c r="O154" s="20">
        <f><![CDATA[IF($P$137<=3,Lookups!$C20,IF(P$137<=4,Lookups!$E20,IF(P$137<=5,Lookups!$G20,IF(P$137<=10,$I20,IF(P$137<=15,Lookups!$K20,IF(P$137<=20,Lookups!$M20,Lookups!$O20))))))]]></f>
        <v>0.4</v>
      </c>
      <c r="P154" s="36">
        <f><![CDATA[IF(P$137<=3,Lookups!$D20,IF(P$137<=4,Lookups!$F20,IF(P$137<=5,Lookups!$H20,IF(P$137<=10,$J20,IF(P$137<=15,Lookups!$L20,IF(P$137<=20,Lookups!$N20,Lookups!$P20))))))]]></f>
        <v>0.01</v>
      </c>
    </row>
    <row r="155" spans="2:16" x14ac:dyDescent="0.25">
      <c r="B155" s="18">
        <v>1500000</v>
      </c>
      <c r="C155" s="20">
        <f><![CDATA[IF($D$137<=3,Lookups!$C21,IF(D$137<=4,Lookups!$E21,IF(D$137<=5,Lookups!$G21,IF(D$137<=10,$I21,IF(D$137<=15,Lookups!$K21,IF(D$137<=20,Lookups!$M21,Lookups!$O21))))))]]></f>
        <v>0.4</v>
      </c>
      <c r="D155" s="36">
        <f><![CDATA[IF(D$137<=3,Lookups!$D21,IF(D$137<=4,Lookups!$F21,IF(D$137<=5,Lookups!$H21,IF(D$137<=10,$J21,IF(D$137<=15,Lookups!$L21,IF(D$137<=20,Lookups!$N21,Lookups!$P21))))))]]></f>
        <v>0.01</v>
      </c>
      <c r="E155" s="20">
        <f><![CDATA[IF($F$137<=3,Lookups!$C21,IF(F$137<=4,Lookups!$E21,IF(F$137<=5,Lookups!$G21,IF(F$137<=10,$I21,IF(F$137<=15,Lookups!$K21,IF(F$137<=20,Lookups!$M21,Lookups!$O21))))))]]></f>
        <v>0.4</v>
      </c>
      <c r="F155" s="36">
        <f><![CDATA[IF(F$137<=3,Lookups!$D21,IF(F$137<=4,Lookups!$F21,IF(F$137<=5,Lookups!$H21,IF(F$137<=10,$J21,IF(F$137<=15,Lookups!$L21,IF(F$137<=20,Lookups!$N21,Lookups!$P21))))))]]></f>
        <v>0.01</v>
      </c>
      <c r="G155" s="20">
        <f><![CDATA[IF($H$137<=3,Lookups!$C21,IF(H$137<=4,Lookups!$E21,IF(H$137<=5,Lookups!$G21,IF(H$137<=10,$I21,IF(H$137<=15,Lookups!$K21,IF(H$137<=20,Lookups!$M21,Lookups!$O21))))))]]></f>
        <v>0.4</v>
      </c>
      <c r="H155" s="36">
        <f><![CDATA[IF(H$137<=3,Lookups!$D21,IF(H$137<=4,Lookups!$F21,IF(H$137<=5,Lookups!$H21,IF(H$137<=10,$J21,IF(H$137<=15,Lookups!$L21,IF(H$137<=20,Lookups!$N21,Lookups!$P21))))))]]></f>
        <v>0.01</v>
      </c>
      <c r="I155" s="20">
        <f><![CDATA[IF($J$137<=3,Lookups!$C21,IF(J$137<=4,Lookups!$E21,IF(J$137<=5,Lookups!$G21,IF(J$137<=10,$I21,IF(J$137<=15,Lookups!$K21,IF(J$137<=20,Lookups!$M21,Lookups!$O21))))))]]></f>
        <v>0.4</v>
      </c>
      <c r="J155" s="36">
        <f><![CDATA[IF(J$137<=3,Lookups!$D21,IF(J$137<=4,Lookups!$F21,IF(J$137<=5,Lookups!$H21,IF(J$137<=10,$J21,IF(J$137<=15,Lookups!$L21,IF(J$137<=20,Lookups!$N21,Lookups!$P21))))))]]></f>
        <v>0.01</v>
      </c>
      <c r="K155" s="20">
        <f><![CDATA[IF($L$137<=3,Lookups!$C21,IF(L$137<=4,Lookups!$E21,IF(L$137<=5,Lookups!$G21,IF(L$137<=10,$I21,IF(L$137<=15,Lookups!$K21,IF(L$137<=20,Lookups!$M21,Lookups!$O21))))))]]></f>
        <v>0.4</v>
      </c>
      <c r="L155" s="36">
        <f><![CDATA[IF(L$137<=3,Lookups!$D21,IF(L$137<=4,Lookups!$F21,IF(L$137<=5,Lookups!$H21,IF(L$137<=10,$J21,IF(L$137<=15,Lookups!$L21,IF(L$137<=20,Lookups!$N21,Lookups!$P21))))))]]></f>
        <v>0.01</v>
      </c>
      <c r="M155" s="20">
        <f><![CDATA[IF($N$137<=3,Lookups!$C21,IF(N$137<=4,Lookups!$E21,IF(N$137<=5,Lookups!$G21,IF(N$137<=10,$I21,IF(N$137<=15,Lookups!$K21,IF(N$137<=20,Lookups!$M21,Lookups!$O21))))))]]></f>
        <v>0.4</v>
      </c>
      <c r="N155" s="36">
        <f><![CDATA[IF(N$137<=3,Lookups!$D21,IF(N$137<=4,Lookups!$F21,IF(N$137<=5,Lookups!$H21,IF(N$137<=10,$J21,IF(N$137<=15,Lookups!$L21,IF(N$137<=20,Lookups!$N21,Lookups!$P21))))))]]></f>
        <v>0.01</v>
      </c>
      <c r="O155" s="20">
        <f><![CDATA[IF($P$137<=3,Lookups!$C21,IF(P$137<=4,Lookups!$E21,IF(P$137<=5,Lookups!$G21,IF(P$137<=10,$I21,IF(P$137<=15,Lookups!$K21,IF(P$137<=20,Lookups!$M21,Lookups!$O21))))))]]></f>
        <v>0.4</v>
      </c>
      <c r="P155" s="36">
        <f><![CDATA[IF(P$137<=3,Lookups!$D21,IF(P$137<=4,Lookups!$F21,IF(P$137<=5,Lookups!$H21,IF(P$137<=10,$J21,IF(P$137<=15,Lookups!$L21,IF(P$137<=20,Lookups!$N21,Lookups!$P21))))))]]></f>
        <v>0.01</v>
      </c>
    </row>
    <row r="156" spans="2:16" x14ac:dyDescent="0.25">
      <c r="B156" s="18">
        <v>1600000</v>
      </c>
      <c r="C156" s="20">
        <f><![CDATA[IF($D$137<=3,Lookups!$C22,IF(D$137<=4,Lookups!$E22,IF(D$137<=5,Lookups!$G22,IF(D$137<=10,$I22,IF(D$137<=15,Lookups!$K22,IF(D$137<=20,Lookups!$M22,Lookups!$O22))))))]]></f>
        <v>0.4</v>
      </c>
      <c r="D156" s="36">
        <f><![CDATA[IF(D$137<=3,Lookups!$D22,IF(D$137<=4,Lookups!$F22,IF(D$137<=5,Lookups!$H22,IF(D$137<=10,$J22,IF(D$137<=15,Lookups!$L22,IF(D$137<=20,Lookups!$N22,Lookups!$P22))))))]]></f>
        <v>0.01</v>
      </c>
      <c r="E156" s="20">
        <f><![CDATA[IF($F$137<=3,Lookups!$C22,IF(F$137<=4,Lookups!$E22,IF(F$137<=5,Lookups!$G22,IF(F$137<=10,$I22,IF(F$137<=15,Lookups!$K22,IF(F$137<=20,Lookups!$M22,Lookups!$O22))))))]]></f>
        <v>0.4</v>
      </c>
      <c r="F156" s="36">
        <f><![CDATA[IF(F$137<=3,Lookups!$D22,IF(F$137<=4,Lookups!$F22,IF(F$137<=5,Lookups!$H22,IF(F$137<=10,$J22,IF(F$137<=15,Lookups!$L22,IF(F$137<=20,Lookups!$N22,Lookups!$P22))))))]]></f>
        <v>0.01</v>
      </c>
      <c r="G156" s="20">
        <f><![CDATA[IF($H$137<=3,Lookups!$C22,IF(H$137<=4,Lookups!$E22,IF(H$137<=5,Lookups!$G22,IF(H$137<=10,$I22,IF(H$137<=15,Lookups!$K22,IF(H$137<=20,Lookups!$M22,Lookups!$O22))))))]]></f>
        <v>0.4</v>
      </c>
      <c r="H156" s="36">
        <f><![CDATA[IF(H$137<=3,Lookups!$D22,IF(H$137<=4,Lookups!$F22,IF(H$137<=5,Lookups!$H22,IF(H$137<=10,$J22,IF(H$137<=15,Lookups!$L22,IF(H$137<=20,Lookups!$N22,Lookups!$P22))))))]]></f>
        <v>0.01</v>
      </c>
      <c r="I156" s="20">
        <f><![CDATA[IF($J$137<=3,Lookups!$C22,IF(J$137<=4,Lookups!$E22,IF(J$137<=5,Lookups!$G22,IF(J$137<=10,$I22,IF(J$137<=15,Lookups!$K22,IF(J$137<=20,Lookups!$M22,Lookups!$O22))))))]]></f>
        <v>0.4</v>
      </c>
      <c r="J156" s="36">
        <f><![CDATA[IF(J$137<=3,Lookups!$D22,IF(J$137<=4,Lookups!$F22,IF(J$137<=5,Lookups!$H22,IF(J$137<=10,$J22,IF(J$137<=15,Lookups!$L22,IF(J$137<=20,Lookups!$N22,Lookups!$P22))))))]]></f>
        <v>0.01</v>
      </c>
      <c r="K156" s="20">
        <f><![CDATA[IF($L$137<=3,Lookups!$C22,IF(L$137<=4,Lookups!$E22,IF(L$137<=5,Lookups!$G22,IF(L$137<=10,$I22,IF(L$137<=15,Lookups!$K22,IF(L$137<=20,Lookups!$M22,Lookups!$O22))))))]]></f>
        <v>0.4</v>
      </c>
      <c r="L156" s="36">
        <f><![CDATA[IF(L$137<=3,Lookups!$D22,IF(L$137<=4,Lookups!$F22,IF(L$137<=5,Lookups!$H22,IF(L$137<=10,$J22,IF(L$137<=15,Lookups!$L22,IF(L$137<=20,Lookups!$N22,Lookups!$P22))))))]]></f>
        <v>0.01</v>
      </c>
      <c r="M156" s="20">
        <f><![CDATA[IF($N$137<=3,Lookups!$C22,IF(N$137<=4,Lookups!$E22,IF(N$137<=5,Lookups!$G22,IF(N$137<=10,$I22,IF(N$137<=15,Lookups!$K22,IF(N$137<=20,Lookups!$M22,Lookups!$O22))))))]]></f>
        <v>0.4</v>
      </c>
      <c r="N156" s="36">
        <f><![CDATA[IF(N$137<=3,Lookups!$D22,IF(N$137<=4,Lookups!$F22,IF(N$137<=5,Lookups!$H22,IF(N$137<=10,$J22,IF(N$137<=15,Lookups!$L22,IF(N$137<=20,Lookups!$N22,Lookups!$P22))))))]]></f>
        <v>0.01</v>
      </c>
      <c r="O156" s="20">
        <f><![CDATA[IF($P$137<=3,Lookups!$C22,IF(P$137<=4,Lookups!$E22,IF(P$137<=5,Lookups!$G22,IF(P$137<=10,$I22,IF(P$137<=15,Lookups!$K22,IF(P$137<=20,Lookups!$M22,Lookups!$O22))))))]]></f>
        <v>0.4</v>
      </c>
      <c r="P156" s="36">
        <f><![CDATA[IF(P$137<=3,Lookups!$D22,IF(P$137<=4,Lookups!$F22,IF(P$137<=5,Lookups!$H22,IF(P$137<=10,$J22,IF(P$137<=15,Lookups!$L22,IF(P$137<=20,Lookups!$N22,Lookups!$P22))))))]]></f>
        <v>0.01</v>
      </c>
    </row>
    <row r="157" spans="2:16" x14ac:dyDescent="0.25">
      <c r="B157" s="18">
        <v>1700000</v>
      </c>
      <c r="C157" s="20">
        <f><![CDATA[IF($D$137<=3,Lookups!$C23,IF(D$137<=4,Lookups!$E23,IF(D$137<=5,Lookups!$G23,IF(D$137<=10,$I23,IF(D$137<=15,Lookups!$K23,IF(D$137<=20,Lookups!$M23,Lookups!$O23))))))]]></f>
        <v>0.4</v>
      </c>
      <c r="D157" s="36">
        <f><![CDATA[IF(D$137<=3,Lookups!$D23,IF(D$137<=4,Lookups!$F23,IF(D$137<=5,Lookups!$H23,IF(D$137<=10,$J23,IF(D$137<=15,Lookups!$L23,IF(D$137<=20,Lookups!$N23,Lookups!$P23))))))]]></f>
        <v>0.01</v>
      </c>
      <c r="E157" s="20">
        <f><![CDATA[IF($F$137<=3,Lookups!$C23,IF(F$137<=4,Lookups!$E23,IF(F$137<=5,Lookups!$G23,IF(F$137<=10,$I23,IF(F$137<=15,Lookups!$K23,IF(F$137<=20,Lookups!$M23,Lookups!$O23))))))]]></f>
        <v>0.4</v>
      </c>
      <c r="F157" s="36">
        <f><![CDATA[IF(F$137<=3,Lookups!$D23,IF(F$137<=4,Lookups!$F23,IF(F$137<=5,Lookups!$H23,IF(F$137<=10,$J23,IF(F$137<=15,Lookups!$L23,IF(F$137<=20,Lookups!$N23,Lookups!$P23))))))]]></f>
        <v>0.01</v>
      </c>
      <c r="G157" s="20">
        <f><![CDATA[IF($H$137<=3,Lookups!$C23,IF(H$137<=4,Lookups!$E23,IF(H$137<=5,Lookups!$G23,IF(H$137<=10,$I23,IF(H$137<=15,Lookups!$K23,IF(H$137<=20,Lookups!$M23,Lookups!$O23))))))]]></f>
        <v>0.4</v>
      </c>
      <c r="H157" s="36">
        <f><![CDATA[IF(H$137<=3,Lookups!$D23,IF(H$137<=4,Lookups!$F23,IF(H$137<=5,Lookups!$H23,IF(H$137<=10,$J23,IF(H$137<=15,Lookups!$L23,IF(H$137<=20,Lookups!$N23,Lookups!$P23))))))]]></f>
        <v>0.01</v>
      </c>
      <c r="I157" s="20">
        <f><![CDATA[IF($J$137<=3,Lookups!$C23,IF(J$137<=4,Lookups!$E23,IF(J$137<=5,Lookups!$G23,IF(J$137<=10,$I23,IF(J$137<=15,Lookups!$K23,IF(J$137<=20,Lookups!$M23,Lookups!$O23))))))]]></f>
        <v>0.4</v>
      </c>
      <c r="J157" s="36">
        <f><![CDATA[IF(J$137<=3,Lookups!$D23,IF(J$137<=4,Lookups!$F23,IF(J$137<=5,Lookups!$H23,IF(J$137<=10,$J23,IF(J$137<=15,Lookups!$L23,IF(J$137<=20,Lookups!$N23,Lookups!$P23))))))]]></f>
        <v>0.01</v>
      </c>
      <c r="K157" s="20">
        <f><![CDATA[IF($L$137<=3,Lookups!$C23,IF(L$137<=4,Lookups!$E23,IF(L$137<=5,Lookups!$G23,IF(L$137<=10,$I23,IF(L$137<=15,Lookups!$K23,IF(L$137<=20,Lookups!$M23,Lookups!$O23))))))]]></f>
        <v>0.4</v>
      </c>
      <c r="L157" s="36">
        <f><![CDATA[IF(L$137<=3,Lookups!$D23,IF(L$137<=4,Lookups!$F23,IF(L$137<=5,Lookups!$H23,IF(L$137<=10,$J23,IF(L$137<=15,Lookups!$L23,IF(L$137<=20,Lookups!$N23,Lookups!$P23))))))]]></f>
        <v>0.01</v>
      </c>
      <c r="M157" s="20">
        <f><![CDATA[IF($N$137<=3,Lookups!$C23,IF(N$137<=4,Lookups!$E23,IF(N$137<=5,Lookups!$G23,IF(N$137<=10,$I23,IF(N$137<=15,Lookups!$K23,IF(N$137<=20,Lookups!$M23,Lookups!$O23))))))]]></f>
        <v>0.4</v>
      </c>
      <c r="N157" s="36">
        <f><![CDATA[IF(N$137<=3,Lookups!$D23,IF(N$137<=4,Lookups!$F23,IF(N$137<=5,Lookups!$H23,IF(N$137<=10,$J23,IF(N$137<=15,Lookups!$L23,IF(N$137<=20,Lookups!$N23,Lookups!$P23))))))]]></f>
        <v>0.01</v>
      </c>
      <c r="O157" s="20">
        <f><![CDATA[IF($P$137<=3,Lookups!$C23,IF(P$137<=4,Lookups!$E23,IF(P$137<=5,Lookups!$G23,IF(P$137<=10,$I23,IF(P$137<=15,Lookups!$K23,IF(P$137<=20,Lookups!$M23,Lookups!$O23))))))]]></f>
        <v>0.4</v>
      </c>
      <c r="P157" s="36">
        <f><![CDATA[IF(P$137<=3,Lookups!$D23,IF(P$137<=4,Lookups!$F23,IF(P$137<=5,Lookups!$H23,IF(P$137<=10,$J23,IF(P$137<=15,Lookups!$L23,IF(P$137<=20,Lookups!$N23,Lookups!$P23))))))]]></f>
        <v>0.01</v>
      </c>
    </row>
    <row r="158" spans="2:16" x14ac:dyDescent="0.25">
      <c r="B158" s="18">
        <v>1800000</v>
      </c>
      <c r="C158" s="20">
        <f><![CDATA[IF($D$137<=3,Lookups!$C24,IF(D$137<=4,Lookups!$E24,IF(D$137<=5,Lookups!$G24,IF(D$137<=10,$I24,IF(D$137<=15,Lookups!$K24,IF(D$137<=20,Lookups!$M24,Lookups!$O24))))))]]></f>
        <v>0.4</v>
      </c>
      <c r="D158" s="36">
        <f><![CDATA[IF(D$137<=3,Lookups!$D24,IF(D$137<=4,Lookups!$F24,IF(D$137<=5,Lookups!$H24,IF(D$137<=10,$J24,IF(D$137<=15,Lookups!$L24,IF(D$137<=20,Lookups!$N24,Lookups!$P24))))))]]></f>
        <v>0.01</v>
      </c>
      <c r="E158" s="20">
        <f><![CDATA[IF($F$137<=3,Lookups!$C24,IF(F$137<=4,Lookups!$E24,IF(F$137<=5,Lookups!$G24,IF(F$137<=10,$I24,IF(F$137<=15,Lookups!$K24,IF(F$137<=20,Lookups!$M24,Lookups!$O24))))))]]></f>
        <v>0.4</v>
      </c>
      <c r="F158" s="36">
        <f><![CDATA[IF(F$137<=3,Lookups!$D24,IF(F$137<=4,Lookups!$F24,IF(F$137<=5,Lookups!$H24,IF(F$137<=10,$J24,IF(F$137<=15,Lookups!$L24,IF(F$137<=20,Lookups!$N24,Lookups!$P24))))))]]></f>
        <v>0.01</v>
      </c>
      <c r="G158" s="20">
        <f><![CDATA[IF($H$137<=3,Lookups!$C24,IF(H$137<=4,Lookups!$E24,IF(H$137<=5,Lookups!$G24,IF(H$137<=10,$I24,IF(H$137<=15,Lookups!$K24,IF(H$137<=20,Lookups!$M24,Lookups!$O24))))))]]></f>
        <v>0.4</v>
      </c>
      <c r="H158" s="36">
        <f><![CDATA[IF(H$137<=3,Lookups!$D24,IF(H$137<=4,Lookups!$F24,IF(H$137<=5,Lookups!$H24,IF(H$137<=10,$J24,IF(H$137<=15,Lookups!$L24,IF(H$137<=20,Lookups!$N24,Lookups!$P24))))))]]></f>
        <v>0.01</v>
      </c>
      <c r="I158" s="20">
        <f><![CDATA[IF($J$137<=3,Lookups!$C24,IF(J$137<=4,Lookups!$E24,IF(J$137<=5,Lookups!$G24,IF(J$137<=10,$I24,IF(J$137<=15,Lookups!$K24,IF(J$137<=20,Lookups!$M24,Lookups!$O24))))))]]></f>
        <v>0.4</v>
      </c>
      <c r="J158" s="36">
        <f><![CDATA[IF(J$137<=3,Lookups!$D24,IF(J$137<=4,Lookups!$F24,IF(J$137<=5,Lookups!$H24,IF(J$137<=10,$J24,IF(J$137<=15,Lookups!$L24,IF(J$137<=20,Lookups!$N24,Lookups!$P24))))))]]></f>
        <v>0.01</v>
      </c>
      <c r="K158" s="20">
        <f><![CDATA[IF($L$137<=3,Lookups!$C24,IF(L$137<=4,Lookups!$E24,IF(L$137<=5,Lookups!$G24,IF(L$137<=10,$I24,IF(L$137<=15,Lookups!$K24,IF(L$137<=20,Lookups!$M24,Lookups!$O24))))))]]></f>
        <v>0.4</v>
      </c>
      <c r="L158" s="36">
        <f><![CDATA[IF(L$137<=3,Lookups!$D24,IF(L$137<=4,Lookups!$F24,IF(L$137<=5,Lookups!$H24,IF(L$137<=10,$J24,IF(L$137<=15,Lookups!$L24,IF(L$137<=20,Lookups!$N24,Lookups!$P24))))))]]></f>
        <v>0.01</v>
      </c>
      <c r="M158" s="20">
        <f><![CDATA[IF($N$137<=3,Lookups!$C24,IF(N$137<=4,Lookups!$E24,IF(N$137<=5,Lookups!$G24,IF(N$137<=10,$I24,IF(N$137<=15,Lookups!$K24,IF(N$137<=20,Lookups!$M24,Lookups!$O24))))))]]></f>
        <v>0.4</v>
      </c>
      <c r="N158" s="36">
        <f><![CDATA[IF(N$137<=3,Lookups!$D24,IF(N$137<=4,Lookups!$F24,IF(N$137<=5,Lookups!$H24,IF(N$137<=10,$J24,IF(N$137<=15,Lookups!$L24,IF(N$137<=20,Lookups!$N24,Lookups!$P24))))))]]></f>
        <v>0.01</v>
      </c>
      <c r="O158" s="20">
        <f><![CDATA[IF($P$137<=3,Lookups!$C24,IF(P$137<=4,Lookups!$E24,IF(P$137<=5,Lookups!$G24,IF(P$137<=10,$I24,IF(P$137<=15,Lookups!$K24,IF(P$137<=20,Lookups!$M24,Lookups!$O24))))))]]></f>
        <v>0.4</v>
      </c>
      <c r="P158" s="36">
        <f><![CDATA[IF(P$137<=3,Lookups!$D24,IF(P$137<=4,Lookups!$F24,IF(P$137<=5,Lookups!$H24,IF(P$137<=10,$J24,IF(P$137<=15,Lookups!$L24,IF(P$137<=20,Lookups!$N24,Lookups!$P24))))))]]></f>
        <v>0.01</v>
      </c>
    </row>
    <row r="159" spans="2:16" x14ac:dyDescent="0.25">
      <c r="B159" s="18">
        <v>1900000</v>
      </c>
      <c r="C159" s="20">
        <f><![CDATA[IF($D$137<=3,Lookups!$C25,IF(D$137<=4,Lookups!$E25,IF(D$137<=5,Lookups!$G25,IF(D$137<=10,$I25,IF(D$137<=15,Lookups!$K25,IF(D$137<=20,Lookups!$M25,Lookups!$O25))))))]]></f>
        <v>0.4</v>
      </c>
      <c r="D159" s="36">
        <f><![CDATA[IF(D$137<=3,Lookups!$D25,IF(D$137<=4,Lookups!$F25,IF(D$137<=5,Lookups!$H25,IF(D$137<=10,$J25,IF(D$137<=15,Lookups!$L25,IF(D$137<=20,Lookups!$N25,Lookups!$P25))))))]]></f>
        <v>0.01</v>
      </c>
      <c r="E159" s="20">
        <f><![CDATA[IF($F$137<=3,Lookups!$C25,IF(F$137<=4,Lookups!$E25,IF(F$137<=5,Lookups!$G25,IF(F$137<=10,$I25,IF(F$137<=15,Lookups!$K25,IF(F$137<=20,Lookups!$M25,Lookups!$O25))))))]]></f>
        <v>0.4</v>
      </c>
      <c r="F159" s="36">
        <f><![CDATA[IF(F$137<=3,Lookups!$D25,IF(F$137<=4,Lookups!$F25,IF(F$137<=5,Lookups!$H25,IF(F$137<=10,$J25,IF(F$137<=15,Lookups!$L25,IF(F$137<=20,Lookups!$N25,Lookups!$P25))))))]]></f>
        <v>0.01</v>
      </c>
      <c r="G159" s="20">
        <f><![CDATA[IF($H$137<=3,Lookups!$C25,IF(H$137<=4,Lookups!$E25,IF(H$137<=5,Lookups!$G25,IF(H$137<=10,$I25,IF(H$137<=15,Lookups!$K25,IF(H$137<=20,Lookups!$M25,Lookups!$O25))))))]]></f>
        <v>0.4</v>
      </c>
      <c r="H159" s="36">
        <f><![CDATA[IF(H$137<=3,Lookups!$D25,IF(H$137<=4,Lookups!$F25,IF(H$137<=5,Lookups!$H25,IF(H$137<=10,$J25,IF(H$137<=15,Lookups!$L25,IF(H$137<=20,Lookups!$N25,Lookups!$P25))))))]]></f>
        <v>0.01</v>
      </c>
      <c r="I159" s="20">
        <f><![CDATA[IF($J$137<=3,Lookups!$C25,IF(J$137<=4,Lookups!$E25,IF(J$137<=5,Lookups!$G25,IF(J$137<=10,$I25,IF(J$137<=15,Lookups!$K25,IF(J$137<=20,Lookups!$M25,Lookups!$O25))))))]]></f>
        <v>0.4</v>
      </c>
      <c r="J159" s="36">
        <f><![CDATA[IF(J$137<=3,Lookups!$D25,IF(J$137<=4,Lookups!$F25,IF(J$137<=5,Lookups!$H25,IF(J$137<=10,$J25,IF(J$137<=15,Lookups!$L25,IF(J$137<=20,Lookups!$N25,Lookups!$P25))))))]]></f>
        <v>0.01</v>
      </c>
      <c r="K159" s="20">
        <f><![CDATA[IF($L$137<=3,Lookups!$C25,IF(L$137<=4,Lookups!$E25,IF(L$137<=5,Lookups!$G25,IF(L$137<=10,$I25,IF(L$137<=15,Lookups!$K25,IF(L$137<=20,Lookups!$M25,Lookups!$O25))))))]]></f>
        <v>0.4</v>
      </c>
      <c r="L159" s="36">
        <f><![CDATA[IF(L$137<=3,Lookups!$D25,IF(L$137<=4,Lookups!$F25,IF(L$137<=5,Lookups!$H25,IF(L$137<=10,$J25,IF(L$137<=15,Lookups!$L25,IF(L$137<=20,Lookups!$N25,Lookups!$P25))))))]]></f>
        <v>0.01</v>
      </c>
      <c r="M159" s="20">
        <f><![CDATA[IF($N$137<=3,Lookups!$C25,IF(N$137<=4,Lookups!$E25,IF(N$137<=5,Lookups!$G25,IF(N$137<=10,$I25,IF(N$137<=15,Lookups!$K25,IF(N$137<=20,Lookups!$M25,Lookups!$O25))))))]]></f>
        <v>0.4</v>
      </c>
      <c r="N159" s="36">
        <f><![CDATA[IF(N$137<=3,Lookups!$D25,IF(N$137<=4,Lookups!$F25,IF(N$137<=5,Lookups!$H25,IF(N$137<=10,$J25,IF(N$137<=15,Lookups!$L25,IF(N$137<=20,Lookups!$N25,Lookups!$P25))))))]]></f>
        <v>0.01</v>
      </c>
      <c r="O159" s="20">
        <f><![CDATA[IF($P$137<=3,Lookups!$C25,IF(P$137<=4,Lookups!$E25,IF(P$137<=5,Lookups!$G25,IF(P$137<=10,$I25,IF(P$137<=15,Lookups!$K25,IF(P$137<=20,Lookups!$M25,Lookups!$O25))))))]]></f>
        <v>0.4</v>
      </c>
      <c r="P159" s="36">
        <f><![CDATA[IF(P$137<=3,Lookups!$D25,IF(P$137<=4,Lookups!$F25,IF(P$137<=5,Lookups!$H25,IF(P$137<=10,$J25,IF(P$137<=15,Lookups!$L25,IF(P$137<=20,Lookups!$N25,Lookups!$P25))))))]]></f>
        <v>0.01</v>
      </c>
    </row>
    <row r="160" spans="2:16" x14ac:dyDescent="0.25">
      <c r="C160" t="s" s="0">
        <v>22</v>
      </c>
      <c r="D160" t="s" s="0">
        <v>22</v>
      </c>
      <c r="E160" t="s" s="0">
        <v>22</v>
      </c>
      <c r="F160" t="s" s="0">
        <v>22</v>
      </c>
      <c r="G160" t="s" s="0">
        <v>22</v>
      </c>
      <c r="H160" t="s" s="0">
        <v>22</v>
      </c>
      <c r="I160" t="s" s="0">
        <v>22</v>
      </c>
      <c r="J160" t="s" s="0">
        <v>22</v>
      </c>
      <c r="K160" t="s" s="0">
        <v>22</v>
      </c>
      <c r="L160" t="s" s="0">
        <v>22</v>
      </c>
      <c r="M160" t="s" s="0">
        <v>22</v>
      </c>
      <c r="N160" t="s" s="0">
        <v>22</v>
      </c>
      <c r="O160" t="s" s="0">
        <v>22</v>
      </c>
      <c r="P160" t="s" s="0">
        <v>22</v>
      </c>
    </row>
    <row r="163" spans="2:18" x14ac:dyDescent="0.25">
      <c r="C163" t="s" s="0">
        <v>7</v>
      </c>
      <c r="D163" s="133">
        <f>+Inputs!C52</f>
        <v>0</v>
      </c>
      <c r="F163" s="133">
        <f>+Inputs!C52+1</f>
        <v>1</v>
      </c>
      <c r="H163" s="133">
        <f>+Inputs!C52+2</f>
        <v>2</v>
      </c>
      <c r="J163" s="133">
        <f>+Inputs!C52+3</f>
        <v>3</v>
      </c>
      <c r="L163" s="133">
        <f>+Inputs!C52+4</f>
        <v>4</v>
      </c>
      <c r="N163" s="133">
        <f>+Inputs!C52+5</f>
        <v>5</v>
      </c>
      <c r="P163" s="133">
        <f>+Inputs!C52+6</f>
        <v>6</v>
      </c>
    </row>
    <row r="164" spans="2:18" x14ac:dyDescent="0.25">
      <c r="B164" s="9" t="s">
        <v>33</v>
      </c>
      <c r="C164" s="12" t="s">
        <v>37</v>
      </c>
      <c r="D164" s="11"/>
      <c r="E164" s="12" t="s">
        <v>37</v>
      </c>
      <c r="F164" s="11"/>
      <c r="G164" s="12" t="s">
        <v>37</v>
      </c>
      <c r="H164" s="11"/>
      <c r="I164" s="12" t="s">
        <v>37</v>
      </c>
      <c r="J164" s="11"/>
      <c r="K164" s="12" t="s">
        <v>37</v>
      </c>
      <c r="L164" s="11"/>
      <c r="M164" s="12" t="s">
        <v>37</v>
      </c>
      <c r="N164" s="11"/>
      <c r="O164" s="12" t="s">
        <v>37</v>
      </c>
      <c r="P164" s="11"/>
    </row>
    <row r="165" spans="2:18" x14ac:dyDescent="0.25">
      <c r="B165" s="13" t="s">
        <v>34</v>
      </c>
      <c r="C165" s="206" t="s">
        <v>0</v>
      </c>
      <c r="D165" s="207"/>
      <c r="E165" s="206" t="s">
        <v>1</v>
      </c>
      <c r="F165" s="207"/>
      <c r="G165" s="206" t="s">
        <v>2</v>
      </c>
      <c r="H165" s="207"/>
      <c r="I165" s="206" t="s">
        <v>3</v>
      </c>
      <c r="J165" s="207"/>
      <c r="K165" s="206" t="s">
        <v>4</v>
      </c>
      <c r="L165" s="207"/>
      <c r="M165" s="206" t="s">
        <v>16</v>
      </c>
      <c r="N165" s="207"/>
      <c r="O165" s="206" t="s">
        <v>17</v>
      </c>
      <c r="P165" s="207"/>
    </row>
    <row r="166" spans="2:18" x14ac:dyDescent="0.25">
      <c r="B166" s="18">
        <v>0</v>
      </c>
      <c r="C166" s="20">
        <f><![CDATA[IF($D$163<=3,Lookups!$C6,IF(D$163<=4,Lookups!$E6,IF(D$111<=5,Lookups!$G6,IF(D$163<=10,$I6,IF(D$163<=15,Lookups!$K6,IF(D$163<=20,Lookups!$M6,Lookups!$O6))))))]]></f>
        <v>0.25</v>
      </c>
      <c r="D166" s="36">
        <f><![CDATA[IF(D$163<=3,Lookups!$D6,IF(D$163<=4,Lookups!$F6,IF(D$163<=5,Lookups!$H6,IF(D$163<=10,$J6,IF(D$163<=15,Lookups!$L6,IF(D$163<=20,Lookups!$N6,Lookups!$P6))))))]]></f>
        <v>0</v>
      </c>
      <c r="E166" s="20">
        <f><![CDATA[IF($F$163<=3,Lookups!$C6,IF(F$163<=4,Lookups!$E6,IF(F$163<=5,Lookups!$G6,IF(F$163<=10,$I6,IF(F$163<=15,Lookups!$K6,IF(F$163<=20,Lookups!$M6,Lookups!$O6))))))]]></f>
        <v>0.25</v>
      </c>
      <c r="F166" s="36">
        <f><![CDATA[IF(F$163<=3,Lookups!$D6,IF(F$163<=4,Lookups!$F6,IF(F$163<=5,Lookups!$H6,IF(F$163<=10,$J6,IF(F$163<=15,Lookups!$L6,IF(F$163<=20,Lookups!$N6,Lookups!$P6))))))]]></f>
        <v>0</v>
      </c>
      <c r="G166" s="20">
        <f><![CDATA[IF($H$163<=3,Lookups!$C6,IF(H$163<=4,Lookups!$E6,IF(H$163<=5,Lookups!$G6,IF(H$163<=10,$I6,IF(H$163<=15,Lookups!$K6,IF(H$163<=20,Lookups!$M6,Lookups!$O6))))))]]></f>
        <v>0.25</v>
      </c>
      <c r="H166" s="36">
        <f><![CDATA[IF(H$163<=3,Lookups!$D6,IF(H$163<=4,Lookups!$F6,IF(H$163<=5,Lookups!$H6,IF(H$163<=10,$J6,IF(H$163<=15,Lookups!$L6,IF(H$163<=20,Lookups!$N6,Lookups!$P6))))))]]></f>
        <v>0</v>
      </c>
      <c r="I166" s="20">
        <f><![CDATA[IF($J$163<=3,Lookups!$C6,IF(J$163<=4,Lookups!$E6,IF(J$163<=5,Lookups!$G6,IF(J$163<=10,$I6,IF(J$163<=15,Lookups!$K6,IF(J$163<=20,Lookups!$M6,Lookups!$O6))))))]]></f>
        <v>0.25</v>
      </c>
      <c r="J166" s="36">
        <f><![CDATA[IF(J$163<=3,Lookups!$D6,IF(J$163<=4,Lookups!$F6,IF(J$163<=5,Lookups!$H6,IF(J$163<=10,$J6,IF(J$163<=15,Lookups!$L6,IF(J$163<=20,Lookups!$N6,Lookups!$P6))))))]]></f>
        <v>0</v>
      </c>
      <c r="K166" s="20">
        <f><![CDATA[IF($L$163<=3,Lookups!$C6,IF(L$163<=4,Lookups!$E6,IF(L$163<=5,Lookups!$G6,IF(L$163<=10,$I6,IF(L$163<=15,Lookups!$K6,IF(L$163<=20,Lookups!$M6,Lookups!$O6))))))]]></f>
        <v>0.25</v>
      </c>
      <c r="L166" s="36">
        <f><![CDATA[IF(L$163<=3,Lookups!$D6,IF(L$163<=4,Lookups!$F6,IF(L$163<=5,Lookups!$H6,IF(L$163<=10,$J6,IF(L$163<=15,Lookups!$L6,IF(L$163<=20,Lookups!$N6,Lookups!$P6))))))]]></f>
        <v>0</v>
      </c>
      <c r="M166" s="20">
        <f><![CDATA[IF($N$163<=3,Lookups!$C6,IF(N$163<=4,Lookups!$E6,IF(N$163<=5,Lookups!$G6,IF(N$163<=10,$I6,IF(N$163<=15,Lookups!$K6,IF(N$163<=20,Lookups!$M6,Lookups!$O6))))))]]></f>
        <v>0.25</v>
      </c>
      <c r="N166" s="36">
        <f><![CDATA[IF(N$163<=3,Lookups!$D6,IF(N$163<=4,Lookups!$F6,IF(N$163<=5,Lookups!$H6,IF(N$163<=10,$J6,IF(N$163<=15,Lookups!$L6,IF(N$163<=20,Lookups!$N6,Lookups!$P6))))))]]></f>
        <v>0</v>
      </c>
      <c r="O166" s="20">
        <f><![CDATA[IF($P$163<=3,Lookups!$C6,IF(P$163<=4,Lookups!$E6,IF(P$163<=5,Lookups!$G6,IF(P$163<=10,$I6,IF(P$163<=15,Lookups!$K6,IF(P$163<=20,Lookups!$M6,Lookups!$O6))))))]]></f>
        <v>0.25</v>
      </c>
      <c r="P166" s="36">
        <f>IF(P$163&lt;=3,Lookups!$D6,IF(P$163&lt;=4,Lookups!$F6,IF(P$163=5,Lookups!$H6,IF(P$163&lt;=10,$J6,IF(P$163&lt;=15,Lookups!$L6,IF(P$163&lt;=20,Lookups!$N6,Lookups!$P6))))))</f>
        <v>0</v>
      </c>
    </row>
    <row r="167" spans="2:18" x14ac:dyDescent="0.25">
      <c r="B167" s="18">
        <v>100000</v>
      </c>
      <c r="C167" s="20">
        <f><![CDATA[IF($D$163<=3,Lookups!$C7,IF(D$163<=4,Lookups!$E7,IF(D$111<=5,Lookups!$G7,IF(D$163<=10,$I7,IF(D$163<=15,Lookups!$K7,IF(D$163<=20,Lookups!$M7,Lookups!$O7))))))]]></f>
        <v>0.4</v>
      </c>
      <c r="D167" s="36">
        <f><![CDATA[IF(D$163<=3,Lookups!$D7,IF(D$163<=4,Lookups!$F7,IF(D$163<=5,Lookups!$H7,IF(D$163<=10,$J7,IF(D$163<=15,Lookups!$L7,IF(D$163<=20,Lookups!$N7,Lookups!$P7))))))]]></f>
        <v>0</v>
      </c>
      <c r="E167" s="20">
        <f><![CDATA[IF($F$163<=3,Lookups!$C7,IF(F$163<=4,Lookups!$E7,IF(F$163<=5,Lookups!$G7,IF(F$163<=10,$I7,IF(F$163<=15,Lookups!$K7,IF(F$163<=20,Lookups!$M7,Lookups!$O7))))))]]></f>
        <v>0.4</v>
      </c>
      <c r="F167" s="36">
        <f><![CDATA[IF(F$163<=3,Lookups!$D7,IF(F$163<=4,Lookups!$F7,IF(F$163<=5,Lookups!$H7,IF(F$163<=10,$J7,IF(F$163<=15,Lookups!$L7,IF(F$163<=20,Lookups!$N7,Lookups!$P7))))))]]></f>
        <v>0</v>
      </c>
      <c r="G167" s="20">
        <f><![CDATA[IF($H$163<=3,Lookups!$C7,IF(H$163<=4,Lookups!$E7,IF(H$163<=5,Lookups!$G7,IF(H$163<=10,$I7,IF(H$163<=15,Lookups!$K7,IF(H$163<=20,Lookups!$M7,Lookups!$O7))))))]]></f>
        <v>0.4</v>
      </c>
      <c r="H167" s="36">
        <f><![CDATA[IF(H$163<=3,Lookups!$D7,IF(H$163<=4,Lookups!$F7,IF(H$163<=5,Lookups!$H7,IF(H$163<=10,$J7,IF(H$163<=15,Lookups!$L7,IF(H$163<=20,Lookups!$N7,Lookups!$P7))))))]]></f>
        <v>0</v>
      </c>
      <c r="I167" s="20">
        <f><![CDATA[IF($J$163<=3,Lookups!$C7,IF(J$163<=4,Lookups!$E7,IF(J$163<=5,Lookups!$G7,IF(J$163<=10,$I7,IF(J$163<=15,Lookups!$K7,IF(J$163<=20,Lookups!$M7,Lookups!$O7))))))]]></f>
        <v>0.4</v>
      </c>
      <c r="J167" s="36">
        <f><![CDATA[IF(J$163<=3,Lookups!$D7,IF(J$163<=4,Lookups!$F7,IF(J$163<=5,Lookups!$H7,IF(J$163<=10,$J7,IF(J$163<=15,Lookups!$L7,IF(J$163<=20,Lookups!$N7,Lookups!$P7))))))]]></f>
        <v>0</v>
      </c>
      <c r="K167" s="20">
        <f><![CDATA[IF($L$163<=3,Lookups!$C7,IF(L$163<=4,Lookups!$E7,IF(L$163<=5,Lookups!$G7,IF(L$163<=10,$I7,IF(L$163<=15,Lookups!$K7,IF(L$163<=20,Lookups!$M7,Lookups!$O7))))))]]></f>
        <v>0.4</v>
      </c>
      <c r="L167" s="36">
        <f><![CDATA[IF(L$163<=3,Lookups!$D7,IF(L$163<=4,Lookups!$F7,IF(L$163<=5,Lookups!$H7,IF(L$163<=10,$J7,IF(L$163<=15,Lookups!$L7,IF(L$163<=20,Lookups!$N7,Lookups!$P7))))))]]></f>
        <v>0</v>
      </c>
      <c r="M167" s="20">
        <f><![CDATA[IF($N$163<=3,Lookups!$C7,IF(N$163<=4,Lookups!$E7,IF(N$163<=5,Lookups!$G7,IF(N$163<=10,$I7,IF(N$163<=15,Lookups!$K7,IF(N$163<=20,Lookups!$M7,Lookups!$O7))))))]]></f>
        <v>0.4</v>
      </c>
      <c r="N167" s="36">
        <f><![CDATA[IF(N$163<=3,Lookups!$D7,IF(N$163<=4,Lookups!$F7,IF(N$163<=5,Lookups!$H7,IF(N$163<=10,$J7,IF(N$163<=15,Lookups!$L7,IF(N$163<=20,Lookups!$N7,Lookups!$P7))))))]]></f>
        <v>0</v>
      </c>
      <c r="O167" s="20">
        <f><![CDATA[IF($P$163<=3,Lookups!$C7,IF(P$163<=4,Lookups!$E7,IF(P$163<=5,Lookups!$G7,IF(P$163<=10,$I7,IF(P$163<=15,Lookups!$K7,IF(P$163<=20,Lookups!$M7,Lookups!$O7))))))]]></f>
        <v>0.4</v>
      </c>
      <c r="P167" s="36">
        <f>IF(P$163&lt;=3,Lookups!$D7,IF(P$163&lt;=4,Lookups!$F7,IF(P$163=5,Lookups!$H7,IF(P$163&lt;=10,$J7,IF(P$163&lt;=15,Lookups!$L7,IF(P$163&lt;=20,Lookups!$N7,Lookups!$P7))))))</f>
        <v>0</v>
      </c>
    </row>
    <row r="168" spans="2:18" x14ac:dyDescent="0.25">
      <c r="B168" s="18">
        <v>200000</v>
      </c>
      <c r="C168" s="20">
        <f><![CDATA[IF($D$163<=3,Lookups!$C8,IF(D$163<=4,Lookups!$E8,IF(D$111<=5,Lookups!$G8,IF(D$163<=10,$I8,IF(D$163<=15,Lookups!$K8,IF(D$163<=20,Lookups!$M8,Lookups!$O8))))))]]></f>
        <v>0.4</v>
      </c>
      <c r="D168" s="36">
        <f><![CDATA[IF(D$163<=3,Lookups!$D8,IF(D$163<=4,Lookups!$F8,IF(D$163<=5,Lookups!$H8,IF(D$163<=10,$J8,IF(D$163<=15,Lookups!$L8,IF(D$163<=20,Lookups!$N8,Lookups!$P8))))))]]></f>
        <v>0</v>
      </c>
      <c r="E168" s="20">
        <f><![CDATA[IF($F$163<=3,Lookups!$C8,IF(F$163<=4,Lookups!$E8,IF(F$163<=5,Lookups!$G8,IF(F$163<=10,$I8,IF(F$163<=15,Lookups!$K8,IF(F$163<=20,Lookups!$M8,Lookups!$O8))))))]]></f>
        <v>0.4</v>
      </c>
      <c r="F168" s="36">
        <f><![CDATA[IF(F$163<=3,Lookups!$D8,IF(F$163<=4,Lookups!$F8,IF(F$163<=5,Lookups!$H8,IF(F$163<=10,$J8,IF(F$163<=15,Lookups!$L8,IF(F$163<=20,Lookups!$N8,Lookups!$P8))))))]]></f>
        <v>0</v>
      </c>
      <c r="G168" s="20">
        <f><![CDATA[IF($H$163<=3,Lookups!$C8,IF(H$163<=4,Lookups!$E8,IF(H$163<=5,Lookups!$G8,IF(H$163<=10,$I8,IF(H$163<=15,Lookups!$K8,IF(H$163<=20,Lookups!$M8,Lookups!$O8))))))]]></f>
        <v>0.4</v>
      </c>
      <c r="H168" s="36">
        <f><![CDATA[IF(H$163<=3,Lookups!$D8,IF(H$163<=4,Lookups!$F8,IF(H$163<=5,Lookups!$H8,IF(H$163<=10,$J8,IF(H$163<=15,Lookups!$L8,IF(H$163<=20,Lookups!$N8,Lookups!$P8))))))]]></f>
        <v>0</v>
      </c>
      <c r="I168" s="20">
        <f><![CDATA[IF($J$163<=3,Lookups!$C8,IF(J$163<=4,Lookups!$E8,IF(J$163<=5,Lookups!$G8,IF(J$163<=10,$I8,IF(J$163<=15,Lookups!$K8,IF(J$163<=20,Lookups!$M8,Lookups!$O8))))))]]></f>
        <v>0.4</v>
      </c>
      <c r="J168" s="36">
        <f><![CDATA[IF(J$163<=3,Lookups!$D8,IF(J$163<=4,Lookups!$F8,IF(J$163<=5,Lookups!$H8,IF(J$163<=10,$J8,IF(J$163<=15,Lookups!$L8,IF(J$163<=20,Lookups!$N8,Lookups!$P8))))))]]></f>
        <v>0</v>
      </c>
      <c r="K168" s="20">
        <f><![CDATA[IF($L$163<=3,Lookups!$C8,IF(L$163<=4,Lookups!$E8,IF(L$163<=5,Lookups!$G8,IF(L$163<=10,$I8,IF(L$163<=15,Lookups!$K8,IF(L$163<=20,Lookups!$M8,Lookups!$O8))))))]]></f>
        <v>0.4</v>
      </c>
      <c r="L168" s="36">
        <f><![CDATA[IF(L$163<=3,Lookups!$D8,IF(L$163<=4,Lookups!$F8,IF(L$163<=5,Lookups!$H8,IF(L$163<=10,$J8,IF(L$163<=15,Lookups!$L8,IF(L$163<=20,Lookups!$N8,Lookups!$P8))))))]]></f>
        <v>0</v>
      </c>
      <c r="M168" s="20">
        <f><![CDATA[IF($N$163<=3,Lookups!$C8,IF(N$163<=4,Lookups!$E8,IF(N$163<=5,Lookups!$G8,IF(N$163<=10,$I8,IF(N$163<=15,Lookups!$K8,IF(N$163<=20,Lookups!$M8,Lookups!$O8))))))]]></f>
        <v>0.4</v>
      </c>
      <c r="N168" s="36">
        <f><![CDATA[IF(N$163<=3,Lookups!$D8,IF(N$163<=4,Lookups!$F8,IF(N$163<=5,Lookups!$H8,IF(N$163<=10,$J8,IF(N$163<=15,Lookups!$L8,IF(N$163<=20,Lookups!$N8,Lookups!$P8))))))]]></f>
        <v>0</v>
      </c>
      <c r="O168" s="20">
        <f><![CDATA[IF($P$163<=3,Lookups!$C8,IF(P$163<=4,Lookups!$E8,IF(P$163<=5,Lookups!$G8,IF(P$163<=10,$I8,IF(P$163<=15,Lookups!$K8,IF(P$163<=20,Lookups!$M8,Lookups!$O8))))))]]></f>
        <v>0.4</v>
      </c>
      <c r="P168" s="36">
        <f>IF(P$163&lt;=3,Lookups!$D8,IF(P$163&lt;=4,Lookups!$F8,IF(P$163=5,Lookups!$H8,IF(P$163&lt;=10,$J8,IF(P$163&lt;=15,Lookups!$L8,IF(P$163&lt;=20,Lookups!$N8,Lookups!$P8))))))</f>
        <v>0</v>
      </c>
    </row>
    <row r="169" spans="2:18" x14ac:dyDescent="0.25">
      <c r="B169" s="18">
        <v>300000</v>
      </c>
      <c r="C169" s="20">
        <f><![CDATA[IF($D$163<=3,Lookups!$C9,IF(D$163<=4,Lookups!$E9,IF(D$111<=5,Lookups!$G9,IF(D$163<=10,$I9,IF(D$163<=15,Lookups!$K9,IF(D$163<=20,Lookups!$M9,Lookups!$O9))))))]]></f>
        <v>0.4</v>
      </c>
      <c r="D169" s="36">
        <f><![CDATA[IF(D$163<=3,Lookups!$D9,IF(D$163<=4,Lookups!$F9,IF(D$163<=5,Lookups!$H9,IF(D$163<=10,$J9,IF(D$163<=15,Lookups!$L9,IF(D$163<=20,Lookups!$N9,Lookups!$P9))))))]]></f>
        <v>0</v>
      </c>
      <c r="E169" s="20">
        <f><![CDATA[IF($F$163<=3,Lookups!$C9,IF(F$163<=4,Lookups!$E9,IF(F$163<=5,Lookups!$G9,IF(F$163<=10,$I9,IF(F$163<=15,Lookups!$K9,IF(F$163<=20,Lookups!$M9,Lookups!$O9))))))]]></f>
        <v>0.4</v>
      </c>
      <c r="F169" s="36">
        <f><![CDATA[IF(F$163<=3,Lookups!$D9,IF(F$163<=4,Lookups!$F9,IF(F$163<=5,Lookups!$H9,IF(F$163<=10,$J9,IF(F$163<=15,Lookups!$L9,IF(F$163<=20,Lookups!$N9,Lookups!$P9))))))]]></f>
        <v>0</v>
      </c>
      <c r="G169" s="20">
        <f><![CDATA[IF($H$163<=3,Lookups!$C9,IF(H$163<=4,Lookups!$E9,IF(H$163<=5,Lookups!$G9,IF(H$163<=10,$I9,IF(H$163<=15,Lookups!$K9,IF(H$163<=20,Lookups!$M9,Lookups!$O9))))))]]></f>
        <v>0.4</v>
      </c>
      <c r="H169" s="36">
        <f><![CDATA[IF(H$163<=3,Lookups!$D9,IF(H$163<=4,Lookups!$F9,IF(H$163<=5,Lookups!$H9,IF(H$163<=10,$J9,IF(H$163<=15,Lookups!$L9,IF(H$163<=20,Lookups!$N9,Lookups!$P9))))))]]></f>
        <v>0</v>
      </c>
      <c r="I169" s="20">
        <f><![CDATA[IF($J$163<=3,Lookups!$C9,IF(J$163<=4,Lookups!$E9,IF(J$163<=5,Lookups!$G9,IF(J$163<=10,$I9,IF(J$163<=15,Lookups!$K9,IF(J$163<=20,Lookups!$M9,Lookups!$O9))))))]]></f>
        <v>0.4</v>
      </c>
      <c r="J169" s="36">
        <f><![CDATA[IF(J$163<=3,Lookups!$D9,IF(J$163<=4,Lookups!$F9,IF(J$163<=5,Lookups!$H9,IF(J$163<=10,$J9,IF(J$163<=15,Lookups!$L9,IF(J$163<=20,Lookups!$N9,Lookups!$P9))))))]]></f>
        <v>0</v>
      </c>
      <c r="K169" s="20">
        <f><![CDATA[IF($L$163<=3,Lookups!$C9,IF(L$163<=4,Lookups!$E9,IF(L$163<=5,Lookups!$G9,IF(L$163<=10,$I9,IF(L$163<=15,Lookups!$K9,IF(L$163<=20,Lookups!$M9,Lookups!$O9))))))]]></f>
        <v>0.4</v>
      </c>
      <c r="L169" s="36">
        <f><![CDATA[IF(L$163<=3,Lookups!$D9,IF(L$163<=4,Lookups!$F9,IF(L$163<=5,Lookups!$H9,IF(L$163<=10,$J9,IF(L$163<=15,Lookups!$L9,IF(L$163<=20,Lookups!$N9,Lookups!$P9))))))]]></f>
        <v>0</v>
      </c>
      <c r="M169" s="20">
        <f><![CDATA[IF($N$163<=3,Lookups!$C9,IF(N$163<=4,Lookups!$E9,IF(N$163<=5,Lookups!$G9,IF(N$163<=10,$I9,IF(N$163<=15,Lookups!$K9,IF(N$163<=20,Lookups!$M9,Lookups!$O9))))))]]></f>
        <v>0.4</v>
      </c>
      <c r="N169" s="36">
        <f><![CDATA[IF(N$163<=3,Lookups!$D9,IF(N$163<=4,Lookups!$F9,IF(N$163<=5,Lookups!$H9,IF(N$163<=10,$J9,IF(N$163<=15,Lookups!$L9,IF(N$163<=20,Lookups!$N9,Lookups!$P9))))))]]></f>
        <v>0</v>
      </c>
      <c r="O169" s="20">
        <f><![CDATA[IF($P$163<=3,Lookups!$C9,IF(P$163<=4,Lookups!$E9,IF(P$163<=5,Lookups!$G9,IF(P$163<=10,$I9,IF(P$163<=15,Lookups!$K9,IF(P$163<=20,Lookups!$M9,Lookups!$O9))))))]]></f>
        <v>0.4</v>
      </c>
      <c r="P169" s="36">
        <f>IF(P$163&lt;=3,Lookups!$D9,IF(P$163&lt;=4,Lookups!$F9,IF(P$163=5,Lookups!$H9,IF(P$163&lt;=10,$J9,IF(P$163&lt;=15,Lookups!$L9,IF(P$163&lt;=20,Lookups!$N9,Lookups!$P9))))))</f>
        <v>0</v>
      </c>
      <c r="R169" t="s" s="0">
        <v>28</v>
      </c>
    </row>
    <row r="170" spans="2:18" x14ac:dyDescent="0.25">
      <c r="B170" s="18">
        <v>400000</v>
      </c>
      <c r="C170" s="20">
        <f><![CDATA[IF($D$163<=3,Lookups!$C10,IF(D$163<=4,Lookups!$E10,IF(D$111<=5,Lookups!$G10,IF(D$163<=10,$I10,IF(D$163<=15,Lookups!$K10,IF(D$163<=20,Lookups!$M10,Lookups!$O10))))))]]></f>
        <v>0.4</v>
      </c>
      <c r="D170" s="36">
        <f><![CDATA[IF(D$163<=3,Lookups!$D10,IF(D$163<=4,Lookups!$F10,IF(D$163<=5,Lookups!$H10,IF(D$163<=10,$J10,IF(D$163<=15,Lookups!$L10,IF(D$163<=20,Lookups!$N10,Lookups!$P10))))))]]></f>
        <v>0</v>
      </c>
      <c r="E170" s="20">
        <f><![CDATA[IF($F$163<=3,Lookups!$C10,IF(F$163<=4,Lookups!$E10,IF(F$163<=5,Lookups!$G10,IF(F$163<=10,$I10,IF(F$163<=15,Lookups!$K10,IF(F$163<=20,Lookups!$M10,Lookups!$O10))))))]]></f>
        <v>0.4</v>
      </c>
      <c r="F170" s="36">
        <f><![CDATA[IF(F$163<=3,Lookups!$D10,IF(F$163<=4,Lookups!$F10,IF(F$163<=5,Lookups!$H10,IF(F$163<=10,$J10,IF(F$163<=15,Lookups!$L10,IF(F$163<=20,Lookups!$N10,Lookups!$P10))))))]]></f>
        <v>0</v>
      </c>
      <c r="G170" s="20">
        <f><![CDATA[IF($H$163<=3,Lookups!$C10,IF(H$163<=4,Lookups!$E10,IF(H$163<=5,Lookups!$G10,IF(H$163<=10,$I10,IF(H$163<=15,Lookups!$K10,IF(H$163<=20,Lookups!$M10,Lookups!$O10))))))]]></f>
        <v>0.4</v>
      </c>
      <c r="H170" s="36">
        <f><![CDATA[IF(H$163<=3,Lookups!$D10,IF(H$163<=4,Lookups!$F10,IF(H$163<=5,Lookups!$H10,IF(H$163<=10,$J10,IF(H$163<=15,Lookups!$L10,IF(H$163<=20,Lookups!$N10,Lookups!$P10))))))]]></f>
        <v>0</v>
      </c>
      <c r="I170" s="20">
        <f><![CDATA[IF($J$163<=3,Lookups!$C10,IF(J$163<=4,Lookups!$E10,IF(J$163<=5,Lookups!$G10,IF(J$163<=10,$I10,IF(J$163<=15,Lookups!$K10,IF(J$163<=20,Lookups!$M10,Lookups!$O10))))))]]></f>
        <v>0.4</v>
      </c>
      <c r="J170" s="36">
        <f><![CDATA[IF(J$163<=3,Lookups!$D10,IF(J$163<=4,Lookups!$F10,IF(J$163<=5,Lookups!$H10,IF(J$163<=10,$J10,IF(J$163<=15,Lookups!$L10,IF(J$163<=20,Lookups!$N10,Lookups!$P10))))))]]></f>
        <v>0</v>
      </c>
      <c r="K170" s="20">
        <f><![CDATA[IF($L$163<=3,Lookups!$C10,IF(L$163<=4,Lookups!$E10,IF(L$163<=5,Lookups!$G10,IF(L$163<=10,$I10,IF(L$163<=15,Lookups!$K10,IF(L$163<=20,Lookups!$M10,Lookups!$O10))))))]]></f>
        <v>0.4</v>
      </c>
      <c r="L170" s="36">
        <f><![CDATA[IF(L$163<=3,Lookups!$D10,IF(L$163<=4,Lookups!$F10,IF(L$163<=5,Lookups!$H10,IF(L$163<=10,$J10,IF(L$163<=15,Lookups!$L10,IF(L$163<=20,Lookups!$N10,Lookups!$P10))))))]]></f>
        <v>0</v>
      </c>
      <c r="M170" s="20">
        <f><![CDATA[IF($N$163<=3,Lookups!$C10,IF(N$163<=4,Lookups!$E10,IF(N$163<=5,Lookups!$G10,IF(N$163<=10,$I10,IF(N$163<=15,Lookups!$K10,IF(N$163<=20,Lookups!$M10,Lookups!$O10))))))]]></f>
        <v>0.4</v>
      </c>
      <c r="N170" s="36">
        <f><![CDATA[IF(N$163<=3,Lookups!$D10,IF(N$163<=4,Lookups!$F10,IF(N$163<=5,Lookups!$H10,IF(N$163<=10,$J10,IF(N$163<=15,Lookups!$L10,IF(N$163<=20,Lookups!$N10,Lookups!$P10))))))]]></f>
        <v>0</v>
      </c>
      <c r="O170" s="20">
        <f><![CDATA[IF($P$163<=3,Lookups!$C10,IF(P$163<=4,Lookups!$E10,IF(P$163<=5,Lookups!$G10,IF(P$163<=10,$I10,IF(P$163<=15,Lookups!$K10,IF(P$163<=20,Lookups!$M10,Lookups!$O10))))))]]></f>
        <v>0.4</v>
      </c>
      <c r="P170" s="36">
        <f>IF(P$163&lt;=3,Lookups!$D10,IF(P$163&lt;=4,Lookups!$F10,IF(P$163=5,Lookups!$H10,IF(P$163&lt;=10,$J10,IF(P$163&lt;=15,Lookups!$L10,IF(P$163&lt;=20,Lookups!$N10,Lookups!$P10))))))</f>
        <v>0</v>
      </c>
    </row>
    <row r="171" spans="2:18" x14ac:dyDescent="0.25">
      <c r="B171" s="18">
        <v>500000</v>
      </c>
      <c r="C171" s="20">
        <f><![CDATA[IF($D$163<=3,Lookups!$C11,IF(D$163<=4,Lookups!$E11,IF(D$111<=5,Lookups!$G11,IF(D$163<=10,$I11,IF(D$163<=15,Lookups!$K11,IF(D$163<=20,Lookups!$M11,Lookups!$O11))))))]]></f>
        <v>0.4</v>
      </c>
      <c r="D171" s="36">
        <f><![CDATA[IF(D$163<=3,Lookups!$D11,IF(D$163<=4,Lookups!$F11,IF(D$163<=5,Lookups!$H11,IF(D$163<=10,$J11,IF(D$163<=15,Lookups!$L11,IF(D$163<=20,Lookups!$N11,Lookups!$P11))))))]]></f>
        <v>0</v>
      </c>
      <c r="E171" s="20">
        <f><![CDATA[IF($F$163<=3,Lookups!$C11,IF(F$163<=4,Lookups!$E11,IF(F$163<=5,Lookups!$G11,IF(F$163<=10,$I11,IF(F$163<=15,Lookups!$K11,IF(F$163<=20,Lookups!$M11,Lookups!$O11))))))]]></f>
        <v>0.4</v>
      </c>
      <c r="F171" s="36">
        <f><![CDATA[IF(F$163<=3,Lookups!$D11,IF(F$163<=4,Lookups!$F11,IF(F$163<=5,Lookups!$H11,IF(F$163<=10,$J11,IF(F$163<=15,Lookups!$L11,IF(F$163<=20,Lookups!$N11,Lookups!$P11))))))]]></f>
        <v>0</v>
      </c>
      <c r="G171" s="20">
        <f><![CDATA[IF($H$163<=3,Lookups!$C11,IF(H$163<=4,Lookups!$E11,IF(H$163<=5,Lookups!$G11,IF(H$163<=10,$I11,IF(H$163<=15,Lookups!$K11,IF(H$163<=20,Lookups!$M11,Lookups!$O11))))))]]></f>
        <v>0.4</v>
      </c>
      <c r="H171" s="36">
        <f><![CDATA[IF(H$163<=3,Lookups!$D11,IF(H$163<=4,Lookups!$F11,IF(H$163<=5,Lookups!$H11,IF(H$163<=10,$J11,IF(H$163<=15,Lookups!$L11,IF(H$163<=20,Lookups!$N11,Lookups!$P11))))))]]></f>
        <v>0</v>
      </c>
      <c r="I171" s="20">
        <f><![CDATA[IF($J$163<=3,Lookups!$C11,IF(J$163<=4,Lookups!$E11,IF(J$163<=5,Lookups!$G11,IF(J$163<=10,$I11,IF(J$163<=15,Lookups!$K11,IF(J$163<=20,Lookups!$M11,Lookups!$O11))))))]]></f>
        <v>0.4</v>
      </c>
      <c r="J171" s="36">
        <f><![CDATA[IF(J$163<=3,Lookups!$D11,IF(J$163<=4,Lookups!$F11,IF(J$163<=5,Lookups!$H11,IF(J$163<=10,$J11,IF(J$163<=15,Lookups!$L11,IF(J$163<=20,Lookups!$N11,Lookups!$P11))))))]]></f>
        <v>0</v>
      </c>
      <c r="K171" s="20">
        <f><![CDATA[IF($L$163<=3,Lookups!$C11,IF(L$163<=4,Lookups!$E11,IF(L$163<=5,Lookups!$G11,IF(L$163<=10,$I11,IF(L$163<=15,Lookups!$K11,IF(L$163<=20,Lookups!$M11,Lookups!$O11))))))]]></f>
        <v>0.4</v>
      </c>
      <c r="L171" s="36">
        <f><![CDATA[IF(L$163<=3,Lookups!$D11,IF(L$163<=4,Lookups!$F11,IF(L$163<=5,Lookups!$H11,IF(L$163<=10,$J11,IF(L$163<=15,Lookups!$L11,IF(L$163<=20,Lookups!$N11,Lookups!$P11))))))]]></f>
        <v>0</v>
      </c>
      <c r="M171" s="20">
        <f><![CDATA[IF($N$163<=3,Lookups!$C11,IF(N$163<=4,Lookups!$E11,IF(N$163<=5,Lookups!$G11,IF(N$163<=10,$I11,IF(N$163<=15,Lookups!$K11,IF(N$163<=20,Lookups!$M11,Lookups!$O11))))))]]></f>
        <v>0.4</v>
      </c>
      <c r="N171" s="36">
        <f><![CDATA[IF(N$163<=3,Lookups!$D11,IF(N$163<=4,Lookups!$F11,IF(N$163<=5,Lookups!$H11,IF(N$163<=10,$J11,IF(N$163<=15,Lookups!$L11,IF(N$163<=20,Lookups!$N11,Lookups!$P11))))))]]></f>
        <v>0</v>
      </c>
      <c r="O171" s="20">
        <f><![CDATA[IF($P$163<=3,Lookups!$C11,IF(P$163<=4,Lookups!$E11,IF(P$163<=5,Lookups!$G11,IF(P$163<=10,$I11,IF(P$163<=15,Lookups!$K11,IF(P$163<=20,Lookups!$M11,Lookups!$O11))))))]]></f>
        <v>0.4</v>
      </c>
      <c r="P171" s="36">
        <f>IF(P$163&lt;=3,Lookups!$D11,IF(P$163&lt;=4,Lookups!$F11,IF(P$163=5,Lookups!$H11,IF(P$163&lt;=10,$J11,IF(P$163&lt;=15,Lookups!$L11,IF(P$163&lt;=20,Lookups!$N11,Lookups!$P11))))))</f>
        <v>0</v>
      </c>
    </row>
    <row r="172" spans="2:18" x14ac:dyDescent="0.25">
      <c r="B172" s="18">
        <v>600000</v>
      </c>
      <c r="C172" s="20">
        <f><![CDATA[IF($D$163<=3,Lookups!$C12,IF(D$163<=4,Lookups!$E12,IF(D$111<=5,Lookups!$G12,IF(D$163<=10,$I12,IF(D$163<=15,Lookups!$K12,IF(D$163<=20,Lookups!$M12,Lookups!$O12))))))]]></f>
        <v>0.4</v>
      </c>
      <c r="D172" s="36">
        <f><![CDATA[IF(D$163<=3,Lookups!$D12,IF(D$163<=4,Lookups!$F12,IF(D$163<=5,Lookups!$H12,IF(D$163<=10,$J12,IF(D$163<=15,Lookups!$L12,IF(D$163<=20,Lookups!$N12,Lookups!$P12))))))]]></f>
        <v>0</v>
      </c>
      <c r="E172" s="20">
        <f><![CDATA[IF($F$163<=3,Lookups!$C12,IF(F$163<=4,Lookups!$E12,IF(F$163<=5,Lookups!$G12,IF(F$163<=10,$I12,IF(F$163<=15,Lookups!$K12,IF(F$163<=20,Lookups!$M12,Lookups!$O12))))))]]></f>
        <v>0.4</v>
      </c>
      <c r="F172" s="36">
        <f><![CDATA[IF(F$163<=3,Lookups!$D12,IF(F$163<=4,Lookups!$F12,IF(F$163<=5,Lookups!$H12,IF(F$163<=10,$J12,IF(F$163<=15,Lookups!$L12,IF(F$163<=20,Lookups!$N12,Lookups!$P12))))))]]></f>
        <v>0</v>
      </c>
      <c r="G172" s="20">
        <f><![CDATA[IF($H$163<=3,Lookups!$C12,IF(H$163<=4,Lookups!$E12,IF(H$163<=5,Lookups!$G12,IF(H$163<=10,$I12,IF(H$163<=15,Lookups!$K12,IF(H$163<=20,Lookups!$M12,Lookups!$O12))))))]]></f>
        <v>0.4</v>
      </c>
      <c r="H172" s="36">
        <f><![CDATA[IF(H$163<=3,Lookups!$D12,IF(H$163<=4,Lookups!$F12,IF(H$163<=5,Lookups!$H12,IF(H$163<=10,$J12,IF(H$163<=15,Lookups!$L12,IF(H$163<=20,Lookups!$N12,Lookups!$P12))))))]]></f>
        <v>0</v>
      </c>
      <c r="I172" s="20">
        <f><![CDATA[IF($J$163<=3,Lookups!$C12,IF(J$163<=4,Lookups!$E12,IF(J$163<=5,Lookups!$G12,IF(J$163<=10,$I12,IF(J$163<=15,Lookups!$K12,IF(J$163<=20,Lookups!$M12,Lookups!$O12))))))]]></f>
        <v>0.4</v>
      </c>
      <c r="J172" s="36">
        <f><![CDATA[IF(J$163<=3,Lookups!$D12,IF(J$163<=4,Lookups!$F12,IF(J$163<=5,Lookups!$H12,IF(J$163<=10,$J12,IF(J$163<=15,Lookups!$L12,IF(J$163<=20,Lookups!$N12,Lookups!$P12))))))]]></f>
        <v>0</v>
      </c>
      <c r="K172" s="20">
        <f><![CDATA[IF($L$163<=3,Lookups!$C12,IF(L$163<=4,Lookups!$E12,IF(L$163<=5,Lookups!$G12,IF(L$163<=10,$I12,IF(L$163<=15,Lookups!$K12,IF(L$163<=20,Lookups!$M12,Lookups!$O12))))))]]></f>
        <v>0.4</v>
      </c>
      <c r="L172" s="36">
        <f><![CDATA[IF(L$163<=3,Lookups!$D12,IF(L$163<=4,Lookups!$F12,IF(L$163<=5,Lookups!$H12,IF(L$163<=10,$J12,IF(L$163<=15,Lookups!$L12,IF(L$163<=20,Lookups!$N12,Lookups!$P12))))))]]></f>
        <v>0</v>
      </c>
      <c r="M172" s="20">
        <f><![CDATA[IF($N$163<=3,Lookups!$C12,IF(N$163<=4,Lookups!$E12,IF(N$163<=5,Lookups!$G12,IF(N$163<=10,$I12,IF(N$163<=15,Lookups!$K12,IF(N$163<=20,Lookups!$M12,Lookups!$O12))))))]]></f>
        <v>0.4</v>
      </c>
      <c r="N172" s="36">
        <f><![CDATA[IF(N$163<=3,Lookups!$D12,IF(N$163<=4,Lookups!$F12,IF(N$163<=5,Lookups!$H12,IF(N$163<=10,$J12,IF(N$163<=15,Lookups!$L12,IF(N$163<=20,Lookups!$N12,Lookups!$P12))))))]]></f>
        <v>0</v>
      </c>
      <c r="O172" s="20">
        <f><![CDATA[IF($P$163<=3,Lookups!$C12,IF(P$163<=4,Lookups!$E12,IF(P$163<=5,Lookups!$G12,IF(P$163<=10,$I12,IF(P$163<=15,Lookups!$K12,IF(P$163<=20,Lookups!$M12,Lookups!$O12))))))]]></f>
        <v>0.4</v>
      </c>
      <c r="P172" s="36">
        <f>IF(P$163&lt;=3,Lookups!$D12,IF(P$163&lt;=4,Lookups!$F12,IF(P$163=5,Lookups!$H12,IF(P$163&lt;=10,$J12,IF(P$163&lt;=15,Lookups!$L12,IF(P$163&lt;=20,Lookups!$N12,Lookups!$P12))))))</f>
        <v>0</v>
      </c>
    </row>
    <row r="173" spans="2:18" x14ac:dyDescent="0.25">
      <c r="B173" s="18">
        <v>700000</v>
      </c>
      <c r="C173" s="20">
        <f><![CDATA[IF($D$163<=3,Lookups!$C13,IF(D$163<=4,Lookups!$E13,IF(D$111<=5,Lookups!$G13,IF(D$163<=10,$I13,IF(D$163<=15,Lookups!$K13,IF(D$163<=20,Lookups!$M13,Lookups!$O13))))))]]></f>
        <v>0.4</v>
      </c>
      <c r="D173" s="36">
        <f><![CDATA[IF(D$163<=3,Lookups!$D13,IF(D$163<=4,Lookups!$F13,IF(D$163<=5,Lookups!$H13,IF(D$163<=10,$J13,IF(D$163<=15,Lookups!$L13,IF(D$163<=20,Lookups!$N13,Lookups!$P13))))))]]></f>
        <v>0</v>
      </c>
      <c r="E173" s="20">
        <f><![CDATA[IF($F$163<=3,Lookups!$C13,IF(F$163<=4,Lookups!$E13,IF(F$163<=5,Lookups!$G13,IF(F$163<=10,$I13,IF(F$163<=15,Lookups!$K13,IF(F$163<=20,Lookups!$M13,Lookups!$O13))))))]]></f>
        <v>0.4</v>
      </c>
      <c r="F173" s="36">
        <f><![CDATA[IF(F$163<=3,Lookups!$D13,IF(F$163<=4,Lookups!$F13,IF(F$163<=5,Lookups!$H13,IF(F$163<=10,$J13,IF(F$163<=15,Lookups!$L13,IF(F$163<=20,Lookups!$N13,Lookups!$P13))))))]]></f>
        <v>0</v>
      </c>
      <c r="G173" s="20">
        <f><![CDATA[IF($H$163<=3,Lookups!$C13,IF(H$163<=4,Lookups!$E13,IF(H$163<=5,Lookups!$G13,IF(H$163<=10,$I13,IF(H$163<=15,Lookups!$K13,IF(H$163<=20,Lookups!$M13,Lookups!$O13))))))]]></f>
        <v>0.4</v>
      </c>
      <c r="H173" s="36">
        <f><![CDATA[IF(H$163<=3,Lookups!$D13,IF(H$163<=4,Lookups!$F13,IF(H$163<=5,Lookups!$H13,IF(H$163<=10,$J13,IF(H$163<=15,Lookups!$L13,IF(H$163<=20,Lookups!$N13,Lookups!$P13))))))]]></f>
        <v>0</v>
      </c>
      <c r="I173" s="20">
        <f><![CDATA[IF($J$163<=3,Lookups!$C13,IF(J$163<=4,Lookups!$E13,IF(J$163<=5,Lookups!$G13,IF(J$163<=10,$I13,IF(J$163<=15,Lookups!$K13,IF(J$163<=20,Lookups!$M13,Lookups!$O13))))))]]></f>
        <v>0.4</v>
      </c>
      <c r="J173" s="36">
        <f><![CDATA[IF(J$163<=3,Lookups!$D13,IF(J$163<=4,Lookups!$F13,IF(J$163<=5,Lookups!$H13,IF(J$163<=10,$J13,IF(J$163<=15,Lookups!$L13,IF(J$163<=20,Lookups!$N13,Lookups!$P13))))))]]></f>
        <v>0</v>
      </c>
      <c r="K173" s="20">
        <f><![CDATA[IF($L$163<=3,Lookups!$C13,IF(L$163<=4,Lookups!$E13,IF(L$163<=5,Lookups!$G13,IF(L$163<=10,$I13,IF(L$163<=15,Lookups!$K13,IF(L$163<=20,Lookups!$M13,Lookups!$O13))))))]]></f>
        <v>0.4</v>
      </c>
      <c r="L173" s="36">
        <f><![CDATA[IF(L$163<=3,Lookups!$D13,IF(L$163<=4,Lookups!$F13,IF(L$163<=5,Lookups!$H13,IF(L$163<=10,$J13,IF(L$163<=15,Lookups!$L13,IF(L$163<=20,Lookups!$N13,Lookups!$P13))))))]]></f>
        <v>0</v>
      </c>
      <c r="M173" s="20">
        <f><![CDATA[IF($N$163<=3,Lookups!$C13,IF(N$163<=4,Lookups!$E13,IF(N$163<=5,Lookups!$G13,IF(N$163<=10,$I13,IF(N$163<=15,Lookups!$K13,IF(N$163<=20,Lookups!$M13,Lookups!$O13))))))]]></f>
        <v>0.4</v>
      </c>
      <c r="N173" s="36">
        <f><![CDATA[IF(N$163<=3,Lookups!$D13,IF(N$163<=4,Lookups!$F13,IF(N$163<=5,Lookups!$H13,IF(N$163<=10,$J13,IF(N$163<=15,Lookups!$L13,IF(N$163<=20,Lookups!$N13,Lookups!$P13))))))]]></f>
        <v>0</v>
      </c>
      <c r="O173" s="20">
        <f><![CDATA[IF($P$163<=3,Lookups!$C13,IF(P$163<=4,Lookups!$E13,IF(P$163<=5,Lookups!$G13,IF(P$163<=10,$I13,IF(P$163<=15,Lookups!$K13,IF(P$163<=20,Lookups!$M13,Lookups!$O13))))))]]></f>
        <v>0.4</v>
      </c>
      <c r="P173" s="36">
        <f>IF(P$163&lt;=3,Lookups!$D13,IF(P$163&lt;=4,Lookups!$F13,IF(P$163=5,Lookups!$H13,IF(P$163&lt;=10,$J13,IF(P$163&lt;=15,Lookups!$L13,IF(P$163&lt;=20,Lookups!$N13,Lookups!$P13))))))</f>
        <v>0</v>
      </c>
    </row>
    <row r="174" spans="2:18" x14ac:dyDescent="0.25">
      <c r="B174" s="18">
        <v>800000</v>
      </c>
      <c r="C174" s="20">
        <f><![CDATA[IF($D$163<=3,Lookups!$C14,IF(D$163<=4,Lookups!$E14,IF(D$111<=5,Lookups!$G14,IF(D$163<=10,$I14,IF(D$163<=15,Lookups!$K14,IF(D$163<=20,Lookups!$M14,Lookups!$O14))))))]]></f>
        <v>0.4</v>
      </c>
      <c r="D174" s="36">
        <f><![CDATA[IF(D$163<=3,Lookups!$D14,IF(D$163<=4,Lookups!$F14,IF(D$163<=5,Lookups!$H14,IF(D$163<=10,$J14,IF(D$163<=15,Lookups!$L14,IF(D$163<=20,Lookups!$N14,Lookups!$P14))))))]]></f>
        <v>0</v>
      </c>
      <c r="E174" s="20">
        <f><![CDATA[IF($F$163<=3,Lookups!$C14,IF(F$163<=4,Lookups!$E14,IF(F$163<=5,Lookups!$G14,IF(F$163<=10,$I14,IF(F$163<=15,Lookups!$K14,IF(F$163<=20,Lookups!$M14,Lookups!$O14))))))]]></f>
        <v>0.4</v>
      </c>
      <c r="F174" s="36">
        <f><![CDATA[IF(F$163<=3,Lookups!$D14,IF(F$163<=4,Lookups!$F14,IF(F$163<=5,Lookups!$H14,IF(F$163<=10,$J14,IF(F$163<=15,Lookups!$L14,IF(F$163<=20,Lookups!$N14,Lookups!$P14))))))]]></f>
        <v>0</v>
      </c>
      <c r="G174" s="20">
        <f><![CDATA[IF($H$163<=3,Lookups!$C14,IF(H$163<=4,Lookups!$E14,IF(H$163<=5,Lookups!$G14,IF(H$163<=10,$I14,IF(H$163<=15,Lookups!$K14,IF(H$163<=20,Lookups!$M14,Lookups!$O14))))))]]></f>
        <v>0.4</v>
      </c>
      <c r="H174" s="36">
        <f><![CDATA[IF(H$163<=3,Lookups!$D14,IF(H$163<=4,Lookups!$F14,IF(H$163<=5,Lookups!$H14,IF(H$163<=10,$J14,IF(H$163<=15,Lookups!$L14,IF(H$163<=20,Lookups!$N14,Lookups!$P14))))))]]></f>
        <v>0</v>
      </c>
      <c r="I174" s="20">
        <f><![CDATA[IF($J$163<=3,Lookups!$C14,IF(J$163<=4,Lookups!$E14,IF(J$163<=5,Lookups!$G14,IF(J$163<=10,$I14,IF(J$163<=15,Lookups!$K14,IF(J$163<=20,Lookups!$M14,Lookups!$O14))))))]]></f>
        <v>0.4</v>
      </c>
      <c r="J174" s="36">
        <f><![CDATA[IF(J$163<=3,Lookups!$D14,IF(J$163<=4,Lookups!$F14,IF(J$163<=5,Lookups!$H14,IF(J$163<=10,$J14,IF(J$163<=15,Lookups!$L14,IF(J$163<=20,Lookups!$N14,Lookups!$P14))))))]]></f>
        <v>0</v>
      </c>
      <c r="K174" s="20">
        <f><![CDATA[IF($L$163<=3,Lookups!$C14,IF(L$163<=4,Lookups!$E14,IF(L$163<=5,Lookups!$G14,IF(L$163<=10,$I14,IF(L$163<=15,Lookups!$K14,IF(L$163<=20,Lookups!$M14,Lookups!$O14))))))]]></f>
        <v>0.4</v>
      </c>
      <c r="L174" s="36">
        <f><![CDATA[IF(L$163<=3,Lookups!$D14,IF(L$163<=4,Lookups!$F14,IF(L$163<=5,Lookups!$H14,IF(L$163<=10,$J14,IF(L$163<=15,Lookups!$L14,IF(L$163<=20,Lookups!$N14,Lookups!$P14))))))]]></f>
        <v>0</v>
      </c>
      <c r="M174" s="20">
        <f><![CDATA[IF($N$163<=3,Lookups!$C14,IF(N$163<=4,Lookups!$E14,IF(N$163<=5,Lookups!$G14,IF(N$163<=10,$I14,IF(N$163<=15,Lookups!$K14,IF(N$163<=20,Lookups!$M14,Lookups!$O14))))))]]></f>
        <v>0.4</v>
      </c>
      <c r="N174" s="36">
        <f><![CDATA[IF(N$163<=3,Lookups!$D14,IF(N$163<=4,Lookups!$F14,IF(N$163<=5,Lookups!$H14,IF(N$163<=10,$J14,IF(N$163<=15,Lookups!$L14,IF(N$163<=20,Lookups!$N14,Lookups!$P14))))))]]></f>
        <v>0</v>
      </c>
      <c r="O174" s="20">
        <f><![CDATA[IF($P$163<=3,Lookups!$C14,IF(P$163<=4,Lookups!$E14,IF(P$163<=5,Lookups!$G14,IF(P$163<=10,$I14,IF(P$163<=15,Lookups!$K14,IF(P$163<=20,Lookups!$M14,Lookups!$O14))))))]]></f>
        <v>0.4</v>
      </c>
      <c r="P174" s="36">
        <f>IF(P$163&lt;=3,Lookups!$D14,IF(P$163&lt;=4,Lookups!$F14,IF(P$163=5,Lookups!$H14,IF(P$163&lt;=10,$J14,IF(P$163&lt;=15,Lookups!$L14,IF(P$163&lt;=20,Lookups!$N14,Lookups!$P14))))))</f>
        <v>0</v>
      </c>
    </row>
    <row r="175" spans="2:18" x14ac:dyDescent="0.25">
      <c r="B175" s="18">
        <v>900000</v>
      </c>
      <c r="C175" s="20">
        <f><![CDATA[IF($D$163<=3,Lookups!$C15,IF(D$163<=4,Lookups!$E15,IF(D$111<=5,Lookups!$G15,IF(D$163<=10,$I15,IF(D$163<=15,Lookups!$K15,IF(D$163<=20,Lookups!$M15,Lookups!$O15))))))]]></f>
        <v>0.4</v>
      </c>
      <c r="D175" s="36">
        <f><![CDATA[IF(D$163<=3,Lookups!$D15,IF(D$163<=4,Lookups!$F15,IF(D$163<=5,Lookups!$H15,IF(D$163<=10,$J15,IF(D$163<=15,Lookups!$L15,IF(D$163<=20,Lookups!$N15,Lookups!$P15))))))]]></f>
        <v>0</v>
      </c>
      <c r="E175" s="20">
        <f><![CDATA[IF($F$163<=3,Lookups!$C15,IF(F$163<=4,Lookups!$E15,IF(F$163<=5,Lookups!$G15,IF(F$163<=10,$I15,IF(F$163<=15,Lookups!$K15,IF(F$163<=20,Lookups!$M15,Lookups!$O15))))))]]></f>
        <v>0.4</v>
      </c>
      <c r="F175" s="36">
        <f><![CDATA[IF(F$163<=3,Lookups!$D15,IF(F$163<=4,Lookups!$F15,IF(F$163<=5,Lookups!$H15,IF(F$163<=10,$J15,IF(F$163<=15,Lookups!$L15,IF(F$163<=20,Lookups!$N15,Lookups!$P15))))))]]></f>
        <v>0</v>
      </c>
      <c r="G175" s="20">
        <f><![CDATA[IF($H$163<=3,Lookups!$C15,IF(H$163<=4,Lookups!$E15,IF(H$163<=5,Lookups!$G15,IF(H$163<=10,$I15,IF(H$163<=15,Lookups!$K15,IF(H$163<=20,Lookups!$M15,Lookups!$O15))))))]]></f>
        <v>0.4</v>
      </c>
      <c r="H175" s="36">
        <f><![CDATA[IF(H$163<=3,Lookups!$D15,IF(H$163<=4,Lookups!$F15,IF(H$163<=5,Lookups!$H15,IF(H$163<=10,$J15,IF(H$163<=15,Lookups!$L15,IF(H$163<=20,Lookups!$N15,Lookups!$P15))))))]]></f>
        <v>0</v>
      </c>
      <c r="I175" s="20">
        <f><![CDATA[IF($J$163<=3,Lookups!$C15,IF(J$163<=4,Lookups!$E15,IF(J$163<=5,Lookups!$G15,IF(J$163<=10,$I15,IF(J$163<=15,Lookups!$K15,IF(J$163<=20,Lookups!$M15,Lookups!$O15))))))]]></f>
        <v>0.4</v>
      </c>
      <c r="J175" s="36">
        <f><![CDATA[IF(J$163<=3,Lookups!$D15,IF(J$163<=4,Lookups!$F15,IF(J$163<=5,Lookups!$H15,IF(J$163<=10,$J15,IF(J$163<=15,Lookups!$L15,IF(J$163<=20,Lookups!$N15,Lookups!$P15))))))]]></f>
        <v>0</v>
      </c>
      <c r="K175" s="20">
        <f><![CDATA[IF($L$163<=3,Lookups!$C15,IF(L$163<=4,Lookups!$E15,IF(L$163<=5,Lookups!$G15,IF(L$163<=10,$I15,IF(L$163<=15,Lookups!$K15,IF(L$163<=20,Lookups!$M15,Lookups!$O15))))))]]></f>
        <v>0.4</v>
      </c>
      <c r="L175" s="36">
        <f><![CDATA[IF(L$163<=3,Lookups!$D15,IF(L$163<=4,Lookups!$F15,IF(L$163<=5,Lookups!$H15,IF(L$163<=10,$J15,IF(L$163<=15,Lookups!$L15,IF(L$163<=20,Lookups!$N15,Lookups!$P15))))))]]></f>
        <v>0</v>
      </c>
      <c r="M175" s="20">
        <f><![CDATA[IF($N$163<=3,Lookups!$C15,IF(N$163<=4,Lookups!$E15,IF(N$163<=5,Lookups!$G15,IF(N$163<=10,$I15,IF(N$163<=15,Lookups!$K15,IF(N$163<=20,Lookups!$M15,Lookups!$O15))))))]]></f>
        <v>0.4</v>
      </c>
      <c r="N175" s="36">
        <f><![CDATA[IF(N$163<=3,Lookups!$D15,IF(N$163<=4,Lookups!$F15,IF(N$163<=5,Lookups!$H15,IF(N$163<=10,$J15,IF(N$163<=15,Lookups!$L15,IF(N$163<=20,Lookups!$N15,Lookups!$P15))))))]]></f>
        <v>0</v>
      </c>
      <c r="O175" s="20">
        <f><![CDATA[IF($P$163<=3,Lookups!$C15,IF(P$163<=4,Lookups!$E15,IF(P$163<=5,Lookups!$G15,IF(P$163<=10,$I15,IF(P$163<=15,Lookups!$K15,IF(P$163<=20,Lookups!$M15,Lookups!$O15))))))]]></f>
        <v>0.4</v>
      </c>
      <c r="P175" s="36">
        <f>IF(P$163&lt;=3,Lookups!$D15,IF(P$163&lt;=4,Lookups!$F15,IF(P$163=5,Lookups!$H15,IF(P$163&lt;=10,$J15,IF(P$163&lt;=15,Lookups!$L15,IF(P$163&lt;=20,Lookups!$N15,Lookups!$P15))))))</f>
        <v>0</v>
      </c>
    </row>
    <row r="176" spans="2:18" x14ac:dyDescent="0.25">
      <c r="B176" s="18">
        <v>1000000</v>
      </c>
      <c r="C176" s="20">
        <f><![CDATA[IF($D$163<=3,Lookups!$C16,IF(D$163<=4,Lookups!$E16,IF(D$111<=5,Lookups!$G16,IF(D$163<=10,$I16,IF(D$163<=15,Lookups!$K16,IF(D$163<=20,Lookups!$M16,Lookups!$O16))))))]]></f>
        <v>0.4</v>
      </c>
      <c r="D176" s="36">
        <f><![CDATA[IF(D$163<=3,Lookups!$D16,IF(D$163<=4,Lookups!$F16,IF(D$163<=5,Lookups!$H16,IF(D$163<=10,$J16,IF(D$163<=15,Lookups!$L16,IF(D$163<=20,Lookups!$N16,Lookups!$P16))))))]]></f>
        <v>0</v>
      </c>
      <c r="E176" s="20">
        <f><![CDATA[IF($F$163<=3,Lookups!$C16,IF(F$163<=4,Lookups!$E16,IF(F$163<=5,Lookups!$G16,IF(F$163<=10,$I16,IF(F$163<=15,Lookups!$K16,IF(F$163<=20,Lookups!$M16,Lookups!$O16))))))]]></f>
        <v>0.4</v>
      </c>
      <c r="F176" s="36">
        <f><![CDATA[IF(F$163<=3,Lookups!$D16,IF(F$163<=4,Lookups!$F16,IF(F$163<=5,Lookups!$H16,IF(F$163<=10,$J16,IF(F$163<=15,Lookups!$L16,IF(F$163<=20,Lookups!$N16,Lookups!$P16))))))]]></f>
        <v>0</v>
      </c>
      <c r="G176" s="20">
        <f><![CDATA[IF($H$163<=3,Lookups!$C16,IF(H$163<=4,Lookups!$E16,IF(H$163<=5,Lookups!$G16,IF(H$163<=10,$I16,IF(H$163<=15,Lookups!$K16,IF(H$163<=20,Lookups!$M16,Lookups!$O16))))))]]></f>
        <v>0.4</v>
      </c>
      <c r="H176" s="36">
        <f><![CDATA[IF(H$163<=3,Lookups!$D16,IF(H$163<=4,Lookups!$F16,IF(H$163<=5,Lookups!$H16,IF(H$163<=10,$J16,IF(H$163<=15,Lookups!$L16,IF(H$163<=20,Lookups!$N16,Lookups!$P16))))))]]></f>
        <v>0</v>
      </c>
      <c r="I176" s="20">
        <f><![CDATA[IF($J$163<=3,Lookups!$C16,IF(J$163<=4,Lookups!$E16,IF(J$163<=5,Lookups!$G16,IF(J$163<=10,$I16,IF(J$163<=15,Lookups!$K16,IF(J$163<=20,Lookups!$M16,Lookups!$O16))))))]]></f>
        <v>0.4</v>
      </c>
      <c r="J176" s="36">
        <f><![CDATA[IF(J$163<=3,Lookups!$D16,IF(J$163<=4,Lookups!$F16,IF(J$163<=5,Lookups!$H16,IF(J$163<=10,$J16,IF(J$163<=15,Lookups!$L16,IF(J$163<=20,Lookups!$N16,Lookups!$P16))))))]]></f>
        <v>0</v>
      </c>
      <c r="K176" s="20">
        <f><![CDATA[IF($L$163<=3,Lookups!$C16,IF(L$163<=4,Lookups!$E16,IF(L$163<=5,Lookups!$G16,IF(L$163<=10,$I16,IF(L$163<=15,Lookups!$K16,IF(L$163<=20,Lookups!$M16,Lookups!$O16))))))]]></f>
        <v>0.4</v>
      </c>
      <c r="L176" s="36">
        <f><![CDATA[IF(L$163<=3,Lookups!$D16,IF(L$163<=4,Lookups!$F16,IF(L$163<=5,Lookups!$H16,IF(L$163<=10,$J16,IF(L$163<=15,Lookups!$L16,IF(L$163<=20,Lookups!$N16,Lookups!$P16))))))]]></f>
        <v>0</v>
      </c>
      <c r="M176" s="20">
        <f><![CDATA[IF($N$163<=3,Lookups!$C16,IF(N$163<=4,Lookups!$E16,IF(N$163<=5,Lookups!$G16,IF(N$163<=10,$I16,IF(N$163<=15,Lookups!$K16,IF(N$163<=20,Lookups!$M16,Lookups!$O16))))))]]></f>
        <v>0.4</v>
      </c>
      <c r="N176" s="36">
        <f><![CDATA[IF(N$163<=3,Lookups!$D16,IF(N$163<=4,Lookups!$F16,IF(N$163<=5,Lookups!$H16,IF(N$163<=10,$J16,IF(N$163<=15,Lookups!$L16,IF(N$163<=20,Lookups!$N16,Lookups!$P16))))))]]></f>
        <v>0</v>
      </c>
      <c r="O176" s="20">
        <f><![CDATA[IF($P$163<=3,Lookups!$C16,IF(P$163<=4,Lookups!$E16,IF(P$163<=5,Lookups!$G16,IF(P$163<=10,$I16,IF(P$163<=15,Lookups!$K16,IF(P$163<=20,Lookups!$M16,Lookups!$O16))))))]]></f>
        <v>0.4</v>
      </c>
      <c r="P176" s="36">
        <f>IF(P$163&lt;=3,Lookups!$D16,IF(P$163&lt;=4,Lookups!$F16,IF(P$163=5,Lookups!$H16,IF(P$163&lt;=10,$J16,IF(P$163&lt;=15,Lookups!$L16,IF(P$163&lt;=20,Lookups!$N16,Lookups!$P16))))))</f>
        <v>0</v>
      </c>
    </row>
    <row r="177" spans="2:16" x14ac:dyDescent="0.25">
      <c r="B177" s="18">
        <v>1100000</v>
      </c>
      <c r="C177" s="20">
        <f><![CDATA[IF($D$163<=3,Lookups!$C17,IF(D$163<=4,Lookups!$E17,IF(D$111<=5,Lookups!$G17,IF(D$163<=10,$I17,IF(D$163<=15,Lookups!$K17,IF(D$163<=20,Lookups!$M17,Lookups!$O17))))))]]></f>
        <v>0.4</v>
      </c>
      <c r="D177" s="36">
        <f><![CDATA[IF(D$163<=3,Lookups!$D17,IF(D$163<=4,Lookups!$F17,IF(D$163<=5,Lookups!$H17,IF(D$163<=10,$J17,IF(D$163<=15,Lookups!$L17,IF(D$163<=20,Lookups!$N17,Lookups!$P17))))))]]></f>
        <v>0.01</v>
      </c>
      <c r="E177" s="20">
        <f><![CDATA[IF($F$163<=3,Lookups!$C17,IF(F$163<=4,Lookups!$E17,IF(F$163<=5,Lookups!$G17,IF(F$163<=10,$I17,IF(F$163<=15,Lookups!$K17,IF(F$163<=20,Lookups!$M17,Lookups!$O17))))))]]></f>
        <v>0.4</v>
      </c>
      <c r="F177" s="36">
        <f><![CDATA[IF(F$163<=3,Lookups!$D17,IF(F$163<=4,Lookups!$F17,IF(F$163<=5,Lookups!$H17,IF(F$163<=10,$J17,IF(F$163<=15,Lookups!$L17,IF(F$163<=20,Lookups!$N17,Lookups!$P17))))))]]></f>
        <v>0.01</v>
      </c>
      <c r="G177" s="20">
        <f><![CDATA[IF($H$163<=3,Lookups!$C17,IF(H$163<=4,Lookups!$E17,IF(H$163<=5,Lookups!$G17,IF(H$163<=10,$I17,IF(H$163<=15,Lookups!$K17,IF(H$163<=20,Lookups!$M17,Lookups!$O17))))))]]></f>
        <v>0.4</v>
      </c>
      <c r="H177" s="36">
        <f><![CDATA[IF(H$163<=3,Lookups!$D17,IF(H$163<=4,Lookups!$F17,IF(H$163<=5,Lookups!$H17,IF(H$163<=10,$J17,IF(H$163<=15,Lookups!$L17,IF(H$163<=20,Lookups!$N17,Lookups!$P17))))))]]></f>
        <v>0.01</v>
      </c>
      <c r="I177" s="20">
        <f><![CDATA[IF($J$163<=3,Lookups!$C17,IF(J$163<=4,Lookups!$E17,IF(J$163<=5,Lookups!$G17,IF(J$163<=10,$I17,IF(J$163<=15,Lookups!$K17,IF(J$163<=20,Lookups!$M17,Lookups!$O17))))))]]></f>
        <v>0.4</v>
      </c>
      <c r="J177" s="36">
        <f><![CDATA[IF(J$163<=3,Lookups!$D17,IF(J$163<=4,Lookups!$F17,IF(J$163<=5,Lookups!$H17,IF(J$163<=10,$J17,IF(J$163<=15,Lookups!$L17,IF(J$163<=20,Lookups!$N17,Lookups!$P17))))))]]></f>
        <v>0.01</v>
      </c>
      <c r="K177" s="20">
        <f><![CDATA[IF($L$163<=3,Lookups!$C17,IF(L$163<=4,Lookups!$E17,IF(L$163<=5,Lookups!$G17,IF(L$163<=10,$I17,IF(L$163<=15,Lookups!$K17,IF(L$163<=20,Lookups!$M17,Lookups!$O17))))))]]></f>
        <v>0.4</v>
      </c>
      <c r="L177" s="36">
        <f><![CDATA[IF(L$163<=3,Lookups!$D17,IF(L$163<=4,Lookups!$F17,IF(L$163<=5,Lookups!$H17,IF(L$163<=10,$J17,IF(L$163<=15,Lookups!$L17,IF(L$163<=20,Lookups!$N17,Lookups!$P17))))))]]></f>
        <v>0.01</v>
      </c>
      <c r="M177" s="20">
        <f><![CDATA[IF($N$163<=3,Lookups!$C17,IF(N$163<=4,Lookups!$E17,IF(N$163<=5,Lookups!$G17,IF(N$163<=10,$I17,IF(N$163<=15,Lookups!$K17,IF(N$163<=20,Lookups!$M17,Lookups!$O17))))))]]></f>
        <v>0.4</v>
      </c>
      <c r="N177" s="36">
        <f><![CDATA[IF(N$163<=3,Lookups!$D17,IF(N$163<=4,Lookups!$F17,IF(N$163<=5,Lookups!$H17,IF(N$163<=10,$J17,IF(N$163<=15,Lookups!$L17,IF(N$163<=20,Lookups!$N17,Lookups!$P17))))))]]></f>
        <v>0.01</v>
      </c>
      <c r="O177" s="20">
        <f><![CDATA[IF($P$163<=3,Lookups!$C17,IF(P$163<=4,Lookups!$E17,IF(P$163<=5,Lookups!$G17,IF(P$163<=10,$I17,IF(P$163<=15,Lookups!$K17,IF(P$163<=20,Lookups!$M17,Lookups!$O17))))))]]></f>
        <v>0.4</v>
      </c>
      <c r="P177" s="36">
        <f>IF(P$163&lt;=3,Lookups!$D17,IF(P$163&lt;=4,Lookups!$F17,IF(P$163=5,Lookups!$H17,IF(P$163&lt;=10,$J17,IF(P$163&lt;=15,Lookups!$L17,IF(P$163&lt;=20,Lookups!$N17,Lookups!$P17))))))</f>
        <v>0.01</v>
      </c>
    </row>
    <row r="178" spans="2:16" x14ac:dyDescent="0.25">
      <c r="B178" s="18">
        <v>1200000</v>
      </c>
      <c r="C178" s="20">
        <f><![CDATA[IF($D$163<=3,Lookups!$C18,IF(D$163<=4,Lookups!$E18,IF(D$111<=5,Lookups!$G18,IF(D$163<=10,$I18,IF(D$163<=15,Lookups!$K18,IF(D$163<=20,Lookups!$M18,Lookups!$O18))))))]]></f>
        <v>0.4</v>
      </c>
      <c r="D178" s="36">
        <f><![CDATA[IF(D$163<=3,Lookups!$D18,IF(D$163<=4,Lookups!$F18,IF(D$163<=5,Lookups!$H18,IF(D$163<=10,$J18,IF(D$163<=15,Lookups!$L18,IF(D$163<=20,Lookups!$N18,Lookups!$P18))))))]]></f>
        <v>0.01</v>
      </c>
      <c r="E178" s="20">
        <f><![CDATA[IF($F$163<=3,Lookups!$C18,IF(F$163<=4,Lookups!$E18,IF(F$163<=5,Lookups!$G18,IF(F$163<=10,$I18,IF(F$163<=15,Lookups!$K18,IF(F$163<=20,Lookups!$M18,Lookups!$O18))))))]]></f>
        <v>0.4</v>
      </c>
      <c r="F178" s="36">
        <f><![CDATA[IF(F$163<=3,Lookups!$D18,IF(F$163<=4,Lookups!$F18,IF(F$163<=5,Lookups!$H18,IF(F$163<=10,$J18,IF(F$163<=15,Lookups!$L18,IF(F$163<=20,Lookups!$N18,Lookups!$P18))))))]]></f>
        <v>0.01</v>
      </c>
      <c r="G178" s="20">
        <f><![CDATA[IF($H$163<=3,Lookups!$C18,IF(H$163<=4,Lookups!$E18,IF(H$163<=5,Lookups!$G18,IF(H$163<=10,$I18,IF(H$163<=15,Lookups!$K18,IF(H$163<=20,Lookups!$M18,Lookups!$O18))))))]]></f>
        <v>0.4</v>
      </c>
      <c r="H178" s="36">
        <f><![CDATA[IF(H$163<=3,Lookups!$D18,IF(H$163<=4,Lookups!$F18,IF(H$163<=5,Lookups!$H18,IF(H$163<=10,$J18,IF(H$163<=15,Lookups!$L18,IF(H$163<=20,Lookups!$N18,Lookups!$P18))))))]]></f>
        <v>0.01</v>
      </c>
      <c r="I178" s="20">
        <f><![CDATA[IF($J$163<=3,Lookups!$C18,IF(J$163<=4,Lookups!$E18,IF(J$163<=5,Lookups!$G18,IF(J$163<=10,$I18,IF(J$163<=15,Lookups!$K18,IF(J$163<=20,Lookups!$M18,Lookups!$O18))))))]]></f>
        <v>0.4</v>
      </c>
      <c r="J178" s="36">
        <f><![CDATA[IF(J$163<=3,Lookups!$D18,IF(J$163<=4,Lookups!$F18,IF(J$163<=5,Lookups!$H18,IF(J$163<=10,$J18,IF(J$163<=15,Lookups!$L18,IF(J$163<=20,Lookups!$N18,Lookups!$P18))))))]]></f>
        <v>0.01</v>
      </c>
      <c r="K178" s="20">
        <f><![CDATA[IF($L$163<=3,Lookups!$C18,IF(L$163<=4,Lookups!$E18,IF(L$163<=5,Lookups!$G18,IF(L$163<=10,$I18,IF(L$163<=15,Lookups!$K18,IF(L$163<=20,Lookups!$M18,Lookups!$O18))))))]]></f>
        <v>0.4</v>
      </c>
      <c r="L178" s="36">
        <f><![CDATA[IF(L$163<=3,Lookups!$D18,IF(L$163<=4,Lookups!$F18,IF(L$163<=5,Lookups!$H18,IF(L$163<=10,$J18,IF(L$163<=15,Lookups!$L18,IF(L$163<=20,Lookups!$N18,Lookups!$P18))))))]]></f>
        <v>0.01</v>
      </c>
      <c r="M178" s="20">
        <f><![CDATA[IF($N$163<=3,Lookups!$C18,IF(N$163<=4,Lookups!$E18,IF(N$163<=5,Lookups!$G18,IF(N$163<=10,$I18,IF(N$163<=15,Lookups!$K18,IF(N$163<=20,Lookups!$M18,Lookups!$O18))))))]]></f>
        <v>0.4</v>
      </c>
      <c r="N178" s="36">
        <f><![CDATA[IF(N$163<=3,Lookups!$D18,IF(N$163<=4,Lookups!$F18,IF(N$163<=5,Lookups!$H18,IF(N$163<=10,$J18,IF(N$163<=15,Lookups!$L18,IF(N$163<=20,Lookups!$N18,Lookups!$P18))))))]]></f>
        <v>0.01</v>
      </c>
      <c r="O178" s="20">
        <f><![CDATA[IF($P$163<=3,Lookups!$C18,IF(P$163<=4,Lookups!$E18,IF(P$163<=5,Lookups!$G18,IF(P$163<=10,$I18,IF(P$163<=15,Lookups!$K18,IF(P$163<=20,Lookups!$M18,Lookups!$O18))))))]]></f>
        <v>0.4</v>
      </c>
      <c r="P178" s="36">
        <f>IF(P$163&lt;=3,Lookups!$D18,IF(P$163&lt;=4,Lookups!$F18,IF(P$163=5,Lookups!$H18,IF(P$163&lt;=10,$J18,IF(P$163&lt;=15,Lookups!$L18,IF(P$163&lt;=20,Lookups!$N18,Lookups!$P18))))))</f>
        <v>0.01</v>
      </c>
    </row>
    <row r="179" spans="2:16" x14ac:dyDescent="0.25">
      <c r="B179" s="18">
        <v>1300000</v>
      </c>
      <c r="C179" s="20">
        <f><![CDATA[IF($D$163<=3,Lookups!$C19,IF(D$163<=4,Lookups!$E19,IF(D$111<=5,Lookups!$G19,IF(D$163<=10,$I19,IF(D$163<=15,Lookups!$K19,IF(D$163<=20,Lookups!$M19,Lookups!$O19))))))]]></f>
        <v>0.4</v>
      </c>
      <c r="D179" s="36">
        <f><![CDATA[IF(D$163<=3,Lookups!$D19,IF(D$163<=4,Lookups!$F19,IF(D$163<=5,Lookups!$H19,IF(D$163<=10,$J19,IF(D$163<=15,Lookups!$L19,IF(D$163<=20,Lookups!$N19,Lookups!$P19))))))]]></f>
        <v>0.01</v>
      </c>
      <c r="E179" s="20">
        <f><![CDATA[IF($F$163<=3,Lookups!$C19,IF(F$163<=4,Lookups!$E19,IF(F$163<=5,Lookups!$G19,IF(F$163<=10,$I19,IF(F$163<=15,Lookups!$K19,IF(F$163<=20,Lookups!$M19,Lookups!$O19))))))]]></f>
        <v>0.4</v>
      </c>
      <c r="F179" s="36">
        <f><![CDATA[IF(F$163<=3,Lookups!$D19,IF(F$163<=4,Lookups!$F19,IF(F$163<=5,Lookups!$H19,IF(F$163<=10,$J19,IF(F$163<=15,Lookups!$L19,IF(F$163<=20,Lookups!$N19,Lookups!$P19))))))]]></f>
        <v>0.01</v>
      </c>
      <c r="G179" s="20">
        <f><![CDATA[IF($H$163<=3,Lookups!$C19,IF(H$163<=4,Lookups!$E19,IF(H$163<=5,Lookups!$G19,IF(H$163<=10,$I19,IF(H$163<=15,Lookups!$K19,IF(H$163<=20,Lookups!$M19,Lookups!$O19))))))]]></f>
        <v>0.4</v>
      </c>
      <c r="H179" s="36">
        <f><![CDATA[IF(H$163<=3,Lookups!$D19,IF(H$163<=4,Lookups!$F19,IF(H$163<=5,Lookups!$H19,IF(H$163<=10,$J19,IF(H$163<=15,Lookups!$L19,IF(H$163<=20,Lookups!$N19,Lookups!$P19))))))]]></f>
        <v>0.01</v>
      </c>
      <c r="I179" s="20">
        <f><![CDATA[IF($J$163<=3,Lookups!$C19,IF(J$163<=4,Lookups!$E19,IF(J$163<=5,Lookups!$G19,IF(J$163<=10,$I19,IF(J$163<=15,Lookups!$K19,IF(J$163<=20,Lookups!$M19,Lookups!$O19))))))]]></f>
        <v>0.4</v>
      </c>
      <c r="J179" s="36">
        <f><![CDATA[IF(J$163<=3,Lookups!$D19,IF(J$163<=4,Lookups!$F19,IF(J$163<=5,Lookups!$H19,IF(J$163<=10,$J19,IF(J$163<=15,Lookups!$L19,IF(J$163<=20,Lookups!$N19,Lookups!$P19))))))]]></f>
        <v>0.01</v>
      </c>
      <c r="K179" s="20">
        <f><![CDATA[IF($L$163<=3,Lookups!$C19,IF(L$163<=4,Lookups!$E19,IF(L$163<=5,Lookups!$G19,IF(L$163<=10,$I19,IF(L$163<=15,Lookups!$K19,IF(L$163<=20,Lookups!$M19,Lookups!$O19))))))]]></f>
        <v>0.4</v>
      </c>
      <c r="L179" s="36">
        <f><![CDATA[IF(L$163<=3,Lookups!$D19,IF(L$163<=4,Lookups!$F19,IF(L$163<=5,Lookups!$H19,IF(L$163<=10,$J19,IF(L$163<=15,Lookups!$L19,IF(L$163<=20,Lookups!$N19,Lookups!$P19))))))]]></f>
        <v>0.01</v>
      </c>
      <c r="M179" s="20">
        <f><![CDATA[IF($N$163<=3,Lookups!$C19,IF(N$163<=4,Lookups!$E19,IF(N$163<=5,Lookups!$G19,IF(N$163<=10,$I19,IF(N$163<=15,Lookups!$K19,IF(N$163<=20,Lookups!$M19,Lookups!$O19))))))]]></f>
        <v>0.4</v>
      </c>
      <c r="N179" s="36">
        <f><![CDATA[IF(N$163<=3,Lookups!$D19,IF(N$163<=4,Lookups!$F19,IF(N$163<=5,Lookups!$H19,IF(N$163<=10,$J19,IF(N$163<=15,Lookups!$L19,IF(N$163<=20,Lookups!$N19,Lookups!$P19))))))]]></f>
        <v>0.01</v>
      </c>
      <c r="O179" s="20">
        <f><![CDATA[IF($P$163<=3,Lookups!$C19,IF(P$163<=4,Lookups!$E19,IF(P$163<=5,Lookups!$G19,IF(P$163<=10,$I19,IF(P$163<=15,Lookups!$K19,IF(P$163<=20,Lookups!$M19,Lookups!$O19))))))]]></f>
        <v>0.4</v>
      </c>
      <c r="P179" s="36">
        <f>IF(P$163&lt;=3,Lookups!$D19,IF(P$163&lt;=4,Lookups!$F19,IF(P$163=5,Lookups!$H19,IF(P$163&lt;=10,$J19,IF(P$163&lt;=15,Lookups!$L19,IF(P$163&lt;=20,Lookups!$N19,Lookups!$P19))))))</f>
        <v>0.01</v>
      </c>
    </row>
    <row r="180" spans="2:16" x14ac:dyDescent="0.25">
      <c r="B180" s="18">
        <v>1400000</v>
      </c>
      <c r="C180" s="20">
        <f><![CDATA[IF($D$163<=3,Lookups!$C20,IF(D$163<=4,Lookups!$E20,IF(D$111<=5,Lookups!$G20,IF(D$163<=10,$I20,IF(D$163<=15,Lookups!$K20,IF(D$163<=20,Lookups!$M20,Lookups!$O20))))))]]></f>
        <v>0.4</v>
      </c>
      <c r="D180" s="36">
        <f><![CDATA[IF(D$163<=3,Lookups!$D20,IF(D$163<=4,Lookups!$F20,IF(D$163<=5,Lookups!$H20,IF(D$163<=10,$J20,IF(D$163<=15,Lookups!$L20,IF(D$163<=20,Lookups!$N20,Lookups!$P20))))))]]></f>
        <v>0.01</v>
      </c>
      <c r="E180" s="20">
        <f><![CDATA[IF($F$163<=3,Lookups!$C20,IF(F$163<=4,Lookups!$E20,IF(F$163<=5,Lookups!$G20,IF(F$163<=10,$I20,IF(F$163<=15,Lookups!$K20,IF(F$163<=20,Lookups!$M20,Lookups!$O20))))))]]></f>
        <v>0.4</v>
      </c>
      <c r="F180" s="36">
        <f><![CDATA[IF(F$163<=3,Lookups!$D20,IF(F$163<=4,Lookups!$F20,IF(F$163<=5,Lookups!$H20,IF(F$163<=10,$J20,IF(F$163<=15,Lookups!$L20,IF(F$163<=20,Lookups!$N20,Lookups!$P20))))))]]></f>
        <v>0.01</v>
      </c>
      <c r="G180" s="20">
        <f><![CDATA[IF($H$163<=3,Lookups!$C20,IF(H$163<=4,Lookups!$E20,IF(H$163<=5,Lookups!$G20,IF(H$163<=10,$I20,IF(H$163<=15,Lookups!$K20,IF(H$163<=20,Lookups!$M20,Lookups!$O20))))))]]></f>
        <v>0.4</v>
      </c>
      <c r="H180" s="36">
        <f><![CDATA[IF(H$163<=3,Lookups!$D20,IF(H$163<=4,Lookups!$F20,IF(H$163<=5,Lookups!$H20,IF(H$163<=10,$J20,IF(H$163<=15,Lookups!$L20,IF(H$163<=20,Lookups!$N20,Lookups!$P20))))))]]></f>
        <v>0.01</v>
      </c>
      <c r="I180" s="20">
        <f><![CDATA[IF($J$163<=3,Lookups!$C20,IF(J$163<=4,Lookups!$E20,IF(J$163<=5,Lookups!$G20,IF(J$163<=10,$I20,IF(J$163<=15,Lookups!$K20,IF(J$163<=20,Lookups!$M20,Lookups!$O20))))))]]></f>
        <v>0.4</v>
      </c>
      <c r="J180" s="36">
        <f><![CDATA[IF(J$163<=3,Lookups!$D20,IF(J$163<=4,Lookups!$F20,IF(J$163<=5,Lookups!$H20,IF(J$163<=10,$J20,IF(J$163<=15,Lookups!$L20,IF(J$163<=20,Lookups!$N20,Lookups!$P20))))))]]></f>
        <v>0.01</v>
      </c>
      <c r="K180" s="20">
        <f><![CDATA[IF($L$163<=3,Lookups!$C20,IF(L$163<=4,Lookups!$E20,IF(L$163<=5,Lookups!$G20,IF(L$163<=10,$I20,IF(L$163<=15,Lookups!$K20,IF(L$163<=20,Lookups!$M20,Lookups!$O20))))))]]></f>
        <v>0.4</v>
      </c>
      <c r="L180" s="36">
        <f><![CDATA[IF(L$163<=3,Lookups!$D20,IF(L$163<=4,Lookups!$F20,IF(L$163<=5,Lookups!$H20,IF(L$163<=10,$J20,IF(L$163<=15,Lookups!$L20,IF(L$163<=20,Lookups!$N20,Lookups!$P20))))))]]></f>
        <v>0.01</v>
      </c>
      <c r="M180" s="20">
        <f><![CDATA[IF($N$163<=3,Lookups!$C20,IF(N$163<=4,Lookups!$E20,IF(N$163<=5,Lookups!$G20,IF(N$163<=10,$I20,IF(N$163<=15,Lookups!$K20,IF(N$163<=20,Lookups!$M20,Lookups!$O20))))))]]></f>
        <v>0.4</v>
      </c>
      <c r="N180" s="36">
        <f><![CDATA[IF(N$163<=3,Lookups!$D20,IF(N$163<=4,Lookups!$F20,IF(N$163<=5,Lookups!$H20,IF(N$163<=10,$J20,IF(N$163<=15,Lookups!$L20,IF(N$163<=20,Lookups!$N20,Lookups!$P20))))))]]></f>
        <v>0.01</v>
      </c>
      <c r="O180" s="20">
        <f><![CDATA[IF($P$163<=3,Lookups!$C20,IF(P$163<=4,Lookups!$E20,IF(P$163<=5,Lookups!$G20,IF(P$163<=10,$I20,IF(P$163<=15,Lookups!$K20,IF(P$163<=20,Lookups!$M20,Lookups!$O20))))))]]></f>
        <v>0.4</v>
      </c>
      <c r="P180" s="36">
        <f>IF(P$163&lt;=3,Lookups!$D20,IF(P$163&lt;=4,Lookups!$F20,IF(P$163=5,Lookups!$H20,IF(P$163&lt;=10,$J20,IF(P$163&lt;=15,Lookups!$L20,IF(P$163&lt;=20,Lookups!$N20,Lookups!$P20))))))</f>
        <v>0.01</v>
      </c>
    </row>
    <row r="181" spans="2:16" x14ac:dyDescent="0.25">
      <c r="B181" s="18">
        <v>1500000</v>
      </c>
      <c r="C181" s="20">
        <f><![CDATA[IF($D$163<=3,Lookups!$C21,IF(D$163<=4,Lookups!$E21,IF(D$111<=5,Lookups!$G21,IF(D$163<=10,$I21,IF(D$163<=15,Lookups!$K21,IF(D$163<=20,Lookups!$M21,Lookups!$O21))))))]]></f>
        <v>0.4</v>
      </c>
      <c r="D181" s="36">
        <f><![CDATA[IF(D$163<=3,Lookups!$D21,IF(D$163<=4,Lookups!$F21,IF(D$163<=5,Lookups!$H21,IF(D$163<=10,$J21,IF(D$163<=15,Lookups!$L21,IF(D$163<=20,Lookups!$N21,Lookups!$P21))))))]]></f>
        <v>0.01</v>
      </c>
      <c r="E181" s="20">
        <f><![CDATA[IF($F$163<=3,Lookups!$C21,IF(F$163<=4,Lookups!$E21,IF(F$163<=5,Lookups!$G21,IF(F$163<=10,$I21,IF(F$163<=15,Lookups!$K21,IF(F$163<=20,Lookups!$M21,Lookups!$O21))))))]]></f>
        <v>0.4</v>
      </c>
      <c r="F181" s="36">
        <f><![CDATA[IF(F$163<=3,Lookups!$D21,IF(F$163<=4,Lookups!$F21,IF(F$163<=5,Lookups!$H21,IF(F$163<=10,$J21,IF(F$163<=15,Lookups!$L21,IF(F$163<=20,Lookups!$N21,Lookups!$P21))))))]]></f>
        <v>0.01</v>
      </c>
      <c r="G181" s="20">
        <f><![CDATA[IF($H$163<=3,Lookups!$C21,IF(H$163<=4,Lookups!$E21,IF(H$163<=5,Lookups!$G21,IF(H$163<=10,$I21,IF(H$163<=15,Lookups!$K21,IF(H$163<=20,Lookups!$M21,Lookups!$O21))))))]]></f>
        <v>0.4</v>
      </c>
      <c r="H181" s="36">
        <f><![CDATA[IF(H$163<=3,Lookups!$D21,IF(H$163<=4,Lookups!$F21,IF(H$163<=5,Lookups!$H21,IF(H$163<=10,$J21,IF(H$163<=15,Lookups!$L21,IF(H$163<=20,Lookups!$N21,Lookups!$P21))))))]]></f>
        <v>0.01</v>
      </c>
      <c r="I181" s="20">
        <f><![CDATA[IF($J$163<=3,Lookups!$C21,IF(J$163<=4,Lookups!$E21,IF(J$163<=5,Lookups!$G21,IF(J$163<=10,$I21,IF(J$163<=15,Lookups!$K21,IF(J$163<=20,Lookups!$M21,Lookups!$O21))))))]]></f>
        <v>0.4</v>
      </c>
      <c r="J181" s="36">
        <f><![CDATA[IF(J$163<=3,Lookups!$D21,IF(J$163<=4,Lookups!$F21,IF(J$163<=5,Lookups!$H21,IF(J$163<=10,$J21,IF(J$163<=15,Lookups!$L21,IF(J$163<=20,Lookups!$N21,Lookups!$P21))))))]]></f>
        <v>0.01</v>
      </c>
      <c r="K181" s="20">
        <f><![CDATA[IF($L$163<=3,Lookups!$C21,IF(L$163<=4,Lookups!$E21,IF(L$163<=5,Lookups!$G21,IF(L$163<=10,$I21,IF(L$163<=15,Lookups!$K21,IF(L$163<=20,Lookups!$M21,Lookups!$O21))))))]]></f>
        <v>0.4</v>
      </c>
      <c r="L181" s="36">
        <f><![CDATA[IF(L$163<=3,Lookups!$D21,IF(L$163<=4,Lookups!$F21,IF(L$163<=5,Lookups!$H21,IF(L$163<=10,$J21,IF(L$163<=15,Lookups!$L21,IF(L$163<=20,Lookups!$N21,Lookups!$P21))))))]]></f>
        <v>0.01</v>
      </c>
      <c r="M181" s="20">
        <f><![CDATA[IF($N$163<=3,Lookups!$C21,IF(N$163<=4,Lookups!$E21,IF(N$163<=5,Lookups!$G21,IF(N$163<=10,$I21,IF(N$163<=15,Lookups!$K21,IF(N$163<=20,Lookups!$M21,Lookups!$O21))))))]]></f>
        <v>0.4</v>
      </c>
      <c r="N181" s="36">
        <f><![CDATA[IF(N$163<=3,Lookups!$D21,IF(N$163<=4,Lookups!$F21,IF(N$163<=5,Lookups!$H21,IF(N$163<=10,$J21,IF(N$163<=15,Lookups!$L21,IF(N$163<=20,Lookups!$N21,Lookups!$P21))))))]]></f>
        <v>0.01</v>
      </c>
      <c r="O181" s="20">
        <f><![CDATA[IF($P$163<=3,Lookups!$C21,IF(P$163<=4,Lookups!$E21,IF(P$163<=5,Lookups!$G21,IF(P$163<=10,$I21,IF(P$163<=15,Lookups!$K21,IF(P$163<=20,Lookups!$M21,Lookups!$O21))))))]]></f>
        <v>0.4</v>
      </c>
      <c r="P181" s="36">
        <f>IF(P$163&lt;=3,Lookups!$D21,IF(P$163&lt;=4,Lookups!$F21,IF(P$163=5,Lookups!$H21,IF(P$163&lt;=10,$J21,IF(P$163&lt;=15,Lookups!$L21,IF(P$163&lt;=20,Lookups!$N21,Lookups!$P21))))))</f>
        <v>0.01</v>
      </c>
    </row>
    <row r="182" spans="2:16" x14ac:dyDescent="0.25">
      <c r="B182" s="18">
        <v>1600000</v>
      </c>
      <c r="C182" s="20">
        <f><![CDATA[IF($D$163<=3,Lookups!$C22,IF(D$163<=4,Lookups!$E22,IF(D$111<=5,Lookups!$G22,IF(D$163<=10,$I22,IF(D$163<=15,Lookups!$K22,IF(D$163<=20,Lookups!$M22,Lookups!$O22))))))]]></f>
        <v>0.4</v>
      </c>
      <c r="D182" s="36">
        <f><![CDATA[IF(D$163<=3,Lookups!$D22,IF(D$163<=4,Lookups!$F22,IF(D$163<=5,Lookups!$H22,IF(D$163<=10,$J22,IF(D$163<=15,Lookups!$L22,IF(D$163<=20,Lookups!$N22,Lookups!$P22))))))]]></f>
        <v>0.01</v>
      </c>
      <c r="E182" s="20">
        <f><![CDATA[IF($F$163<=3,Lookups!$C22,IF(F$163<=4,Lookups!$E22,IF(F$163<=5,Lookups!$G22,IF(F$163<=10,$I22,IF(F$163<=15,Lookups!$K22,IF(F$163<=20,Lookups!$M22,Lookups!$O22))))))]]></f>
        <v>0.4</v>
      </c>
      <c r="F182" s="36">
        <f><![CDATA[IF(F$163<=3,Lookups!$D22,IF(F$163<=4,Lookups!$F22,IF(F$163<=5,Lookups!$H22,IF(F$163<=10,$J22,IF(F$163<=15,Lookups!$L22,IF(F$163<=20,Lookups!$N22,Lookups!$P22))))))]]></f>
        <v>0.01</v>
      </c>
      <c r="G182" s="20">
        <f><![CDATA[IF($H$163<=3,Lookups!$C22,IF(H$163<=4,Lookups!$E22,IF(H$163<=5,Lookups!$G22,IF(H$163<=10,$I22,IF(H$163<=15,Lookups!$K22,IF(H$163<=20,Lookups!$M22,Lookups!$O22))))))]]></f>
        <v>0.4</v>
      </c>
      <c r="H182" s="36">
        <f><![CDATA[IF(H$163<=3,Lookups!$D22,IF(H$163<=4,Lookups!$F22,IF(H$163<=5,Lookups!$H22,IF(H$163<=10,$J22,IF(H$163<=15,Lookups!$L22,IF(H$163<=20,Lookups!$N22,Lookups!$P22))))))]]></f>
        <v>0.01</v>
      </c>
      <c r="I182" s="20">
        <f><![CDATA[IF($J$163<=3,Lookups!$C22,IF(J$163<=4,Lookups!$E22,IF(J$163<=5,Lookups!$G22,IF(J$163<=10,$I22,IF(J$163<=15,Lookups!$K22,IF(J$163<=20,Lookups!$M22,Lookups!$O22))))))]]></f>
        <v>0.4</v>
      </c>
      <c r="J182" s="36">
        <f><![CDATA[IF(J$163<=3,Lookups!$D22,IF(J$163<=4,Lookups!$F22,IF(J$163<=5,Lookups!$H22,IF(J$163<=10,$J22,IF(J$163<=15,Lookups!$L22,IF(J$163<=20,Lookups!$N22,Lookups!$P22))))))]]></f>
        <v>0.01</v>
      </c>
      <c r="K182" s="20">
        <f><![CDATA[IF($L$163<=3,Lookups!$C22,IF(L$163<=4,Lookups!$E22,IF(L$163<=5,Lookups!$G22,IF(L$163<=10,$I22,IF(L$163<=15,Lookups!$K22,IF(L$163<=20,Lookups!$M22,Lookups!$O22))))))]]></f>
        <v>0.4</v>
      </c>
      <c r="L182" s="36">
        <f><![CDATA[IF(L$163<=3,Lookups!$D22,IF(L$163<=4,Lookups!$F22,IF(L$163<=5,Lookups!$H22,IF(L$163<=10,$J22,IF(L$163<=15,Lookups!$L22,IF(L$163<=20,Lookups!$N22,Lookups!$P22))))))]]></f>
        <v>0.01</v>
      </c>
      <c r="M182" s="20">
        <f><![CDATA[IF($N$163<=3,Lookups!$C22,IF(N$163<=4,Lookups!$E22,IF(N$163<=5,Lookups!$G22,IF(N$163<=10,$I22,IF(N$163<=15,Lookups!$K22,IF(N$163<=20,Lookups!$M22,Lookups!$O22))))))]]></f>
        <v>0.4</v>
      </c>
      <c r="N182" s="36">
        <f><![CDATA[IF(N$163<=3,Lookups!$D22,IF(N$163<=4,Lookups!$F22,IF(N$163<=5,Lookups!$H22,IF(N$163<=10,$J22,IF(N$163<=15,Lookups!$L22,IF(N$163<=20,Lookups!$N22,Lookups!$P22))))))]]></f>
        <v>0.01</v>
      </c>
      <c r="O182" s="20">
        <f><![CDATA[IF($P$163<=3,Lookups!$C22,IF(P$163<=4,Lookups!$E22,IF(P$163<=5,Lookups!$G22,IF(P$163<=10,$I22,IF(P$163<=15,Lookups!$K22,IF(P$163<=20,Lookups!$M22,Lookups!$O22))))))]]></f>
        <v>0.4</v>
      </c>
      <c r="P182" s="36">
        <f>IF(P$163&lt;=3,Lookups!$D22,IF(P$163&lt;=4,Lookups!$F22,IF(P$163=5,Lookups!$H22,IF(P$163&lt;=10,$J22,IF(P$163&lt;=15,Lookups!$L22,IF(P$163&lt;=20,Lookups!$N22,Lookups!$P22))))))</f>
        <v>0.01</v>
      </c>
    </row>
    <row r="183" spans="2:16" x14ac:dyDescent="0.25">
      <c r="B183" s="18">
        <v>1700000</v>
      </c>
      <c r="C183" s="20">
        <f><![CDATA[IF($D$163<=3,Lookups!$C23,IF(D$163<=4,Lookups!$E23,IF(D$111<=5,Lookups!$G23,IF(D$163<=10,$I23,IF(D$163<=15,Lookups!$K23,IF(D$163<=20,Lookups!$M23,Lookups!$O23))))))]]></f>
        <v>0.4</v>
      </c>
      <c r="D183" s="36">
        <f><![CDATA[IF(D$163<=3,Lookups!$D23,IF(D$163<=4,Lookups!$F23,IF(D$163<=5,Lookups!$H23,IF(D$163<=10,$J23,IF(D$163<=15,Lookups!$L23,IF(D$163<=20,Lookups!$N23,Lookups!$P23))))))]]></f>
        <v>0.01</v>
      </c>
      <c r="E183" s="20">
        <f><![CDATA[IF($F$163<=3,Lookups!$C23,IF(F$163<=4,Lookups!$E23,IF(F$163<=5,Lookups!$G23,IF(F$163<=10,$I23,IF(F$163<=15,Lookups!$K23,IF(F$163<=20,Lookups!$M23,Lookups!$O23))))))]]></f>
        <v>0.4</v>
      </c>
      <c r="F183" s="36">
        <f><![CDATA[IF(F$163<=3,Lookups!$D23,IF(F$163<=4,Lookups!$F23,IF(F$163<=5,Lookups!$H23,IF(F$163<=10,$J23,IF(F$163<=15,Lookups!$L23,IF(F$163<=20,Lookups!$N23,Lookups!$P23))))))]]></f>
        <v>0.01</v>
      </c>
      <c r="G183" s="20">
        <f><![CDATA[IF($H$163<=3,Lookups!$C23,IF(H$163<=4,Lookups!$E23,IF(H$163<=5,Lookups!$G23,IF(H$163<=10,$I23,IF(H$163<=15,Lookups!$K23,IF(H$163<=20,Lookups!$M23,Lookups!$O23))))))]]></f>
        <v>0.4</v>
      </c>
      <c r="H183" s="36">
        <f><![CDATA[IF(H$163<=3,Lookups!$D23,IF(H$163<=4,Lookups!$F23,IF(H$163<=5,Lookups!$H23,IF(H$163<=10,$J23,IF(H$163<=15,Lookups!$L23,IF(H$163<=20,Lookups!$N23,Lookups!$P23))))))]]></f>
        <v>0.01</v>
      </c>
      <c r="I183" s="20">
        <f><![CDATA[IF($J$163<=3,Lookups!$C23,IF(J$163<=4,Lookups!$E23,IF(J$163<=5,Lookups!$G23,IF(J$163<=10,$I23,IF(J$163<=15,Lookups!$K23,IF(J$163<=20,Lookups!$M23,Lookups!$O23))))))]]></f>
        <v>0.4</v>
      </c>
      <c r="J183" s="36">
        <f><![CDATA[IF(J$163<=3,Lookups!$D23,IF(J$163<=4,Lookups!$F23,IF(J$163<=5,Lookups!$H23,IF(J$163<=10,$J23,IF(J$163<=15,Lookups!$L23,IF(J$163<=20,Lookups!$N23,Lookups!$P23))))))]]></f>
        <v>0.01</v>
      </c>
      <c r="K183" s="20">
        <f><![CDATA[IF($L$163<=3,Lookups!$C23,IF(L$163<=4,Lookups!$E23,IF(L$163<=5,Lookups!$G23,IF(L$163<=10,$I23,IF(L$163<=15,Lookups!$K23,IF(L$163<=20,Lookups!$M23,Lookups!$O23))))))]]></f>
        <v>0.4</v>
      </c>
      <c r="L183" s="36">
        <f><![CDATA[IF(L$163<=3,Lookups!$D23,IF(L$163<=4,Lookups!$F23,IF(L$163<=5,Lookups!$H23,IF(L$163<=10,$J23,IF(L$163<=15,Lookups!$L23,IF(L$163<=20,Lookups!$N23,Lookups!$P23))))))]]></f>
        <v>0.01</v>
      </c>
      <c r="M183" s="20">
        <f><![CDATA[IF($N$163<=3,Lookups!$C23,IF(N$163<=4,Lookups!$E23,IF(N$163<=5,Lookups!$G23,IF(N$163<=10,$I23,IF(N$163<=15,Lookups!$K23,IF(N$163<=20,Lookups!$M23,Lookups!$O23))))))]]></f>
        <v>0.4</v>
      </c>
      <c r="N183" s="36">
        <f><![CDATA[IF(N$163<=3,Lookups!$D23,IF(N$163<=4,Lookups!$F23,IF(N$163<=5,Lookups!$H23,IF(N$163<=10,$J23,IF(N$163<=15,Lookups!$L23,IF(N$163<=20,Lookups!$N23,Lookups!$P23))))))]]></f>
        <v>0.01</v>
      </c>
      <c r="O183" s="20">
        <f><![CDATA[IF($P$163<=3,Lookups!$C23,IF(P$163<=4,Lookups!$E23,IF(P$163<=5,Lookups!$G23,IF(P$163<=10,$I23,IF(P$163<=15,Lookups!$K23,IF(P$163<=20,Lookups!$M23,Lookups!$O23))))))]]></f>
        <v>0.4</v>
      </c>
      <c r="P183" s="36">
        <f>IF(P$163&lt;=3,Lookups!$D23,IF(P$163&lt;=4,Lookups!$F23,IF(P$163=5,Lookups!$H23,IF(P$163&lt;=10,$J23,IF(P$163&lt;=15,Lookups!$L23,IF(P$163&lt;=20,Lookups!$N23,Lookups!$P23))))))</f>
        <v>0.01</v>
      </c>
    </row>
    <row r="184" spans="2:16" x14ac:dyDescent="0.25">
      <c r="B184" s="18">
        <v>1800000</v>
      </c>
      <c r="C184" s="20">
        <f><![CDATA[IF($D$163<=3,Lookups!$C24,IF(D$163<=4,Lookups!$E24,IF(D$111<=5,Lookups!$G24,IF(D$163<=10,$I24,IF(D$163<=15,Lookups!$K24,IF(D$163<=20,Lookups!$M24,Lookups!$O24))))))]]></f>
        <v>0.4</v>
      </c>
      <c r="D184" s="36">
        <f><![CDATA[IF(D$163<=3,Lookups!$D24,IF(D$163<=4,Lookups!$F24,IF(D$163<=5,Lookups!$H24,IF(D$163<=10,$J24,IF(D$163<=15,Lookups!$L24,IF(D$163<=20,Lookups!$N24,Lookups!$P24))))))]]></f>
        <v>0.01</v>
      </c>
      <c r="E184" s="20">
        <f><![CDATA[IF($F$163<=3,Lookups!$C24,IF(F$163<=4,Lookups!$E24,IF(F$163<=5,Lookups!$G24,IF(F$163<=10,$I24,IF(F$163<=15,Lookups!$K24,IF(F$163<=20,Lookups!$M24,Lookups!$O24))))))]]></f>
        <v>0.4</v>
      </c>
      <c r="F184" s="36">
        <f><![CDATA[IF(F$163<=3,Lookups!$D24,IF(F$163<=4,Lookups!$F24,IF(F$163<=5,Lookups!$H24,IF(F$163<=10,$J24,IF(F$163<=15,Lookups!$L24,IF(F$163<=20,Lookups!$N24,Lookups!$P24))))))]]></f>
        <v>0.01</v>
      </c>
      <c r="G184" s="20">
        <f><![CDATA[IF($H$163<=3,Lookups!$C24,IF(H$163<=4,Lookups!$E24,IF(H$163<=5,Lookups!$G24,IF(H$163<=10,$I24,IF(H$163<=15,Lookups!$K24,IF(H$163<=20,Lookups!$M24,Lookups!$O24))))))]]></f>
        <v>0.4</v>
      </c>
      <c r="H184" s="36">
        <f><![CDATA[IF(H$163<=3,Lookups!$D24,IF(H$163<=4,Lookups!$F24,IF(H$163<=5,Lookups!$H24,IF(H$163<=10,$J24,IF(H$163<=15,Lookups!$L24,IF(H$163<=20,Lookups!$N24,Lookups!$P24))))))]]></f>
        <v>0.01</v>
      </c>
      <c r="I184" s="20">
        <f><![CDATA[IF($J$163<=3,Lookups!$C24,IF(J$163<=4,Lookups!$E24,IF(J$163<=5,Lookups!$G24,IF(J$163<=10,$I24,IF(J$163<=15,Lookups!$K24,IF(J$163<=20,Lookups!$M24,Lookups!$O24))))))]]></f>
        <v>0.4</v>
      </c>
      <c r="J184" s="36">
        <f><![CDATA[IF(J$163<=3,Lookups!$D24,IF(J$163<=4,Lookups!$F24,IF(J$163<=5,Lookups!$H24,IF(J$163<=10,$J24,IF(J$163<=15,Lookups!$L24,IF(J$163<=20,Lookups!$N24,Lookups!$P24))))))]]></f>
        <v>0.01</v>
      </c>
      <c r="K184" s="20">
        <f><![CDATA[IF($L$163<=3,Lookups!$C24,IF(L$163<=4,Lookups!$E24,IF(L$163<=5,Lookups!$G24,IF(L$163<=10,$I24,IF(L$163<=15,Lookups!$K24,IF(L$163<=20,Lookups!$M24,Lookups!$O24))))))]]></f>
        <v>0.4</v>
      </c>
      <c r="L184" s="36">
        <f><![CDATA[IF(L$163<=3,Lookups!$D24,IF(L$163<=4,Lookups!$F24,IF(L$163<=5,Lookups!$H24,IF(L$163<=10,$J24,IF(L$163<=15,Lookups!$L24,IF(L$163<=20,Lookups!$N24,Lookups!$P24))))))]]></f>
        <v>0.01</v>
      </c>
      <c r="M184" s="20">
        <f><![CDATA[IF($N$163<=3,Lookups!$C24,IF(N$163<=4,Lookups!$E24,IF(N$163<=5,Lookups!$G24,IF(N$163<=10,$I24,IF(N$163<=15,Lookups!$K24,IF(N$163<=20,Lookups!$M24,Lookups!$O24))))))]]></f>
        <v>0.4</v>
      </c>
      <c r="N184" s="36">
        <f><![CDATA[IF(N$163<=3,Lookups!$D24,IF(N$163<=4,Lookups!$F24,IF(N$163<=5,Lookups!$H24,IF(N$163<=10,$J24,IF(N$163<=15,Lookups!$L24,IF(N$163<=20,Lookups!$N24,Lookups!$P24))))))]]></f>
        <v>0.01</v>
      </c>
      <c r="O184" s="20">
        <f><![CDATA[IF($P$163<=3,Lookups!$C24,IF(P$163<=4,Lookups!$E24,IF(P$163<=5,Lookups!$G24,IF(P$163<=10,$I24,IF(P$163<=15,Lookups!$K24,IF(P$163<=20,Lookups!$M24,Lookups!$O24))))))]]></f>
        <v>0.4</v>
      </c>
      <c r="P184" s="36">
        <f>IF(P$163&lt;=3,Lookups!$D24,IF(P$163&lt;=4,Lookups!$F24,IF(P$163=5,Lookups!$H24,IF(P$163&lt;=10,$J24,IF(P$163&lt;=15,Lookups!$L24,IF(P$163&lt;=20,Lookups!$N24,Lookups!$P24))))))</f>
        <v>0.01</v>
      </c>
    </row>
    <row r="185" spans="2:16" x14ac:dyDescent="0.25">
      <c r="B185" s="18">
        <v>1900000</v>
      </c>
      <c r="C185" s="20">
        <f><![CDATA[IF($D$163<=3,Lookups!$C25,IF(D$163<=4,Lookups!$E25,IF(D$111<=5,Lookups!$G25,IF(D$163<=10,$I25,IF(D$163<=15,Lookups!$K25,IF(D$163<=20,Lookups!$M25,Lookups!$O25))))))]]></f>
        <v>0.4</v>
      </c>
      <c r="D185" s="36">
        <f><![CDATA[IF(D$163<=3,Lookups!$D25,IF(D$163<=4,Lookups!$F25,IF(D$163<=5,Lookups!$H25,IF(D$163<=10,$J25,IF(D$163<=15,Lookups!$L25,IF(D$163<=20,Lookups!$N25,Lookups!$P25))))))]]></f>
        <v>0.01</v>
      </c>
      <c r="E185" s="20">
        <f><![CDATA[IF($F$163<=3,Lookups!$C25,IF(F$163<=4,Lookups!$E25,IF(F$163<=5,Lookups!$G25,IF(F$163<=10,$I25,IF(F$163<=15,Lookups!$K25,IF(F$163<=20,Lookups!$M25,Lookups!$O25))))))]]></f>
        <v>0.4</v>
      </c>
      <c r="F185" s="36">
        <f><![CDATA[IF(F$163<=3,Lookups!$D25,IF(F$163<=4,Lookups!$F25,IF(F$163<=5,Lookups!$H25,IF(F$163<=10,$J25,IF(F$163<=15,Lookups!$L25,IF(F$163<=20,Lookups!$N25,Lookups!$P25))))))]]></f>
        <v>0.01</v>
      </c>
      <c r="G185" s="20">
        <f><![CDATA[IF($H$163<=3,Lookups!$C25,IF(H$163<=4,Lookups!$E25,IF(H$163<=5,Lookups!$G25,IF(H$163<=10,$I25,IF(H$163<=15,Lookups!$K25,IF(H$163<=20,Lookups!$M25,Lookups!$O25))))))]]></f>
        <v>0.4</v>
      </c>
      <c r="H185" s="36">
        <f><![CDATA[IF(H$163<=3,Lookups!$D25,IF(H$163<=4,Lookups!$F25,IF(H$163<=5,Lookups!$H25,IF(H$163<=10,$J25,IF(H$163<=15,Lookups!$L25,IF(H$163<=20,Lookups!$N25,Lookups!$P25))))))]]></f>
        <v>0.01</v>
      </c>
      <c r="I185" s="20">
        <f><![CDATA[IF($J$163<=3,Lookups!$C25,IF(J$163<=4,Lookups!$E25,IF(J$163<=5,Lookups!$G25,IF(J$163<=10,$I25,IF(J$163<=15,Lookups!$K25,IF(J$163<=20,Lookups!$M25,Lookups!$O25))))))]]></f>
        <v>0.4</v>
      </c>
      <c r="J185" s="36">
        <f><![CDATA[IF(J$163<=3,Lookups!$D25,IF(J$163<=4,Lookups!$F25,IF(J$163<=5,Lookups!$H25,IF(J$163<=10,$J25,IF(J$163<=15,Lookups!$L25,IF(J$163<=20,Lookups!$N25,Lookups!$P25))))))]]></f>
        <v>0.01</v>
      </c>
      <c r="K185" s="20">
        <f><![CDATA[IF($L$163<=3,Lookups!$C25,IF(L$163<=4,Lookups!$E25,IF(L$163<=5,Lookups!$G25,IF(L$163<=10,$I25,IF(L$163<=15,Lookups!$K25,IF(L$163<=20,Lookups!$M25,Lookups!$O25))))))]]></f>
        <v>0.4</v>
      </c>
      <c r="L185" s="36">
        <f><![CDATA[IF(L$163<=3,Lookups!$D25,IF(L$163<=4,Lookups!$F25,IF(L$163<=5,Lookups!$H25,IF(L$163<=10,$J25,IF(L$163<=15,Lookups!$L25,IF(L$163<=20,Lookups!$N25,Lookups!$P25))))))]]></f>
        <v>0.01</v>
      </c>
      <c r="M185" s="20">
        <f><![CDATA[IF($N$163<=3,Lookups!$C25,IF(N$163<=4,Lookups!$E25,IF(N$163<=5,Lookups!$G25,IF(N$163<=10,$I25,IF(N$163<=15,Lookups!$K25,IF(N$163<=20,Lookups!$M25,Lookups!$O25))))))]]></f>
        <v>0.4</v>
      </c>
      <c r="N185" s="36">
        <f><![CDATA[IF(N$163<=3,Lookups!$D25,IF(N$163<=4,Lookups!$F25,IF(N$163<=5,Lookups!$H25,IF(N$163<=10,$J25,IF(N$163<=15,Lookups!$L25,IF(N$163<=20,Lookups!$N25,Lookups!$P25))))))]]></f>
        <v>0.01</v>
      </c>
      <c r="O185" s="20">
        <f><![CDATA[IF($P$163<=3,Lookups!$C25,IF(P$163<=4,Lookups!$E25,IF(P$163<=5,Lookups!$G25,IF(P$163<=10,$I25,IF(P$163<=15,Lookups!$K25,IF(P$163<=20,Lookups!$M25,Lookups!$O25))))))]]></f>
        <v>0.4</v>
      </c>
      <c r="P185" s="36">
        <f>IF(P$163&lt;=3,Lookups!$D25,IF(P$163&lt;=4,Lookups!$F25,IF(P$163=5,Lookups!$H25,IF(P$163&lt;=10,$J25,IF(P$163&lt;=15,Lookups!$L25,IF(P$163&lt;=20,Lookups!$N25,Lookups!$P25))))))</f>
        <v>0.01</v>
      </c>
    </row>
    <row r="186" spans="2:16" x14ac:dyDescent="0.25">
      <c r="C186" t="s" s="0">
        <v>22</v>
      </c>
      <c r="D186" t="s" s="0">
        <v>22</v>
      </c>
      <c r="E186" t="s" s="0">
        <v>22</v>
      </c>
      <c r="F186" t="s" s="0">
        <v>22</v>
      </c>
      <c r="G186" t="s" s="0">
        <v>22</v>
      </c>
      <c r="H186" t="s" s="0">
        <v>22</v>
      </c>
      <c r="I186" t="s" s="0">
        <v>22</v>
      </c>
      <c r="J186" t="s" s="0">
        <v>22</v>
      </c>
      <c r="K186" t="s" s="0">
        <v>22</v>
      </c>
      <c r="L186" t="s" s="0">
        <v>22</v>
      </c>
      <c r="M186" t="s" s="0">
        <v>22</v>
      </c>
      <c r="N186" t="s" s="0">
        <v>22</v>
      </c>
      <c r="O186" t="s" s="0">
        <v>22</v>
      </c>
      <c r="P186" t="s" s="0">
        <v>22</v>
      </c>
    </row>
    <row r="189" spans="2:16" x14ac:dyDescent="0.25">
      <c r="C189" t="s" s="0">
        <v>7</v>
      </c>
      <c r="D189" s="133">
        <f>+Inputs!C58</f>
        <v>0</v>
      </c>
      <c r="F189" s="133">
        <f>+Inputs!C58+1</f>
        <v>1</v>
      </c>
      <c r="H189" s="133">
        <f>+Inputs!C58+2</f>
        <v>2</v>
      </c>
      <c r="J189" s="133">
        <f>+Inputs!C58+3</f>
        <v>3</v>
      </c>
      <c r="L189" s="133">
        <f>+Inputs!C58+4</f>
        <v>4</v>
      </c>
      <c r="N189" s="133">
        <f>+Inputs!C58+5</f>
        <v>5</v>
      </c>
      <c r="P189" s="133">
        <f>+Inputs!C58+6</f>
        <v>6</v>
      </c>
    </row>
    <row r="190" spans="2:16" x14ac:dyDescent="0.25">
      <c r="B190" s="9" t="s">
        <v>33</v>
      </c>
      <c r="C190" s="12" t="s">
        <v>37</v>
      </c>
      <c r="D190" s="11"/>
      <c r="E190" s="12" t="s">
        <v>37</v>
      </c>
      <c r="F190" s="11"/>
      <c r="G190" s="12" t="s">
        <v>37</v>
      </c>
      <c r="H190" s="11"/>
      <c r="I190" s="12" t="s">
        <v>37</v>
      </c>
      <c r="J190" s="11"/>
      <c r="K190" s="12" t="s">
        <v>37</v>
      </c>
      <c r="L190" s="11"/>
      <c r="M190" s="12" t="s">
        <v>37</v>
      </c>
      <c r="N190" s="11"/>
      <c r="O190" s="12" t="s">
        <v>37</v>
      </c>
      <c r="P190" s="11"/>
    </row>
    <row r="191" spans="2:16" x14ac:dyDescent="0.25">
      <c r="B191" s="13" t="s">
        <v>34</v>
      </c>
      <c r="C191" s="206" t="s">
        <v>0</v>
      </c>
      <c r="D191" s="207"/>
      <c r="E191" s="206" t="s">
        <v>1</v>
      </c>
      <c r="F191" s="207"/>
      <c r="G191" s="206" t="s">
        <v>2</v>
      </c>
      <c r="H191" s="207"/>
      <c r="I191" s="206" t="s">
        <v>3</v>
      </c>
      <c r="J191" s="207"/>
      <c r="K191" s="206" t="s">
        <v>4</v>
      </c>
      <c r="L191" s="207"/>
      <c r="M191" s="206" t="s">
        <v>16</v>
      </c>
      <c r="N191" s="207"/>
      <c r="O191" s="206" t="s">
        <v>17</v>
      </c>
      <c r="P191" s="207"/>
    </row>
    <row r="192" spans="2:16" x14ac:dyDescent="0.25">
      <c r="B192" s="18">
        <v>0</v>
      </c>
      <c r="C192" s="20">
        <f><![CDATA[IF($D$189<=3,Lookups!$C6,IF(D$189<=4,Lookups!$E6,IF(D$189<=5,Lookups!$G6,IF(D$189<=10,$I6,IF(D$189<=15,Lookups!$K6,IF(D$189<=20,Lookups!$M6,Lookups!$O6))))))]]></f>
        <v>0.25</v>
      </c>
      <c r="D192" s="36">
        <f><![CDATA[IF(D$189<=3,Lookups!$D6,IF(D$189<=4,Lookups!$F6,IF(D$189<=5,Lookups!$H6,IF(D$189<=10,$J6,IF(D$189<=15,Lookups!$L6,IF(D$189<=20,Lookups!$N6,Lookups!$P6))))))]]></f>
        <v>0</v>
      </c>
      <c r="E192" s="20">
        <f><![CDATA[IF($F$189<=3,Lookups!$C6,IF(F$189<=4,Lookups!$E6,IF(F$189<=5,Lookups!$G6,IF(F$189<=10,$I6,IF(F$189<=15,Lookups!$K6,IF(F$189<=20,Lookups!$M6,Lookups!$O6))))))]]></f>
        <v>0.25</v>
      </c>
      <c r="F192" s="36">
        <f><![CDATA[IF(F$189<=3,Lookups!$D6,IF(F$189<=4,Lookups!$F6,IF(F$189<=5,Lookups!$H6,IF(F$189<=10,$J6,IF(F$189<=15,Lookups!$L6,IF(F$189<=20,Lookups!$N6,Lookups!$P6))))))]]></f>
        <v>0</v>
      </c>
      <c r="G192" s="20">
        <f><![CDATA[IF($H$189<=3,Lookups!$C6,IF(H$189<=4,Lookups!$E6,IF(H$189<=5,Lookups!$G6,IF(H$189<=10,$I6,IF(H$189<=15,Lookups!$K6,IF(H$189<=20,Lookups!$M6,Lookups!$O6))))))]]></f>
        <v>0.25</v>
      </c>
      <c r="H192" s="36">
        <f><![CDATA[IF(H$189<=3,Lookups!$D6,IF(H$189<=4,Lookups!$F6,IF(H$189<=5,Lookups!$H6,IF(H$189<=10,$J6,IF(H$189<=15,Lookups!$L6,IF(H$189<=20,Lookups!$N6,Lookups!$P6))))))]]></f>
        <v>0</v>
      </c>
      <c r="I192" s="20">
        <f><![CDATA[IF($J$189<=3,Lookups!$C6,IF(J$189<=4,Lookups!$E6,IF(J$189<=5,Lookups!$G6,IF(J$189<=10,$I6,IF(J$189<=15,Lookups!$K6,IF(J$189<=20,Lookups!$M6,Lookups!$O6))))))]]></f>
        <v>0.25</v>
      </c>
      <c r="J192" s="36">
        <f><![CDATA[IF(J$189<=3,Lookups!$D6,IF(J$189<=4,Lookups!$F6,IF(J$189<=5,Lookups!$H6,IF(J$189<=10,$J6,IF(J$189<=15,Lookups!$L6,IF(J$189<=20,Lookups!$N6,Lookups!$P6))))))]]></f>
        <v>0</v>
      </c>
      <c r="K192" s="20">
        <f><![CDATA[IF($L$189<=3,Lookups!$C6,IF(L$189<=4,Lookups!$E6,IF(L$189<=5,Lookups!$G6,IF(L$189<=10,$I6,IF(L$189<=15,Lookups!$K6,IF(L$189<=20,Lookups!$M6,Lookups!$O6))))))]]></f>
        <v>0.25</v>
      </c>
      <c r="L192" s="36">
        <f><![CDATA[IF(L$189<=3,Lookups!$D6,IF(L$189<=4,Lookups!$F6,IF(L$189<=5,Lookups!$H6,IF(L$189<=10,$J6,IF(L$189<=15,Lookups!$L6,IF(L$189<=20,Lookups!$N6,Lookups!$P6))))))]]></f>
        <v>0</v>
      </c>
      <c r="M192" s="20">
        <f><![CDATA[IF($N$189<=3,Lookups!$C6,IF(N$189<=4,Lookups!$E6,IF(N$189<=5,Lookups!$G6,IF(N$189<=10,$I6,IF(N$189<=15,Lookups!$K6,IF(N$189<=20,Lookups!$M6,Lookups!$O6))))))]]></f>
        <v>0.25</v>
      </c>
      <c r="N192" s="36">
        <f><![CDATA[IF(N$189<=3,Lookups!$D6,IF(N$189<=4,Lookups!$F6,IF(N$189<=5,Lookups!$H6,IF(N$189<=10,$J6,IF(N$189<=15,Lookups!$L6,IF(N$189<=20,Lookups!$N6,Lookups!$P6))))))]]></f>
        <v>0</v>
      </c>
      <c r="O192" s="20">
        <f><![CDATA[IF($P$189<=3,Lookups!$C6,IF(P$189<=4,Lookups!$E6,IF(P$189<=5,Lookups!$G6,IF(P$189<=10,$I6,IF(P$189<=15,Lookups!$K6,IF(P$189<=20,Lookups!$M6,Lookups!$O6))))))]]></f>
        <v>0.25</v>
      </c>
      <c r="P192" s="36">
        <f><![CDATA[IF(P$189<=3,Lookups!$D6,IF(P$189<=4,Lookups!$F6,IF(P$189<=5,Lookups!$H6,IF(P$189<=10,$J6,IF(P$189<=15,Lookups!$L6,IF(P$189<=20,Lookups!$N6,Lookups!$P6))))))]]></f>
        <v>0</v>
      </c>
    </row>
    <row r="193" spans="2:18" x14ac:dyDescent="0.25">
      <c r="B193" s="18">
        <v>100000</v>
      </c>
      <c r="C193" s="20">
        <f><![CDATA[IF($D$189<=3,Lookups!$C7,IF(D$189<=4,Lookups!$E7,IF(D$189<=5,Lookups!$G7,IF(D$189<=10,$I7,IF(D$189<=15,Lookups!$K7,IF(D$189<=20,Lookups!$M7,Lookups!$O7))))))]]></f>
        <v>0.4</v>
      </c>
      <c r="D193" s="36">
        <f><![CDATA[IF(D$189<=3,Lookups!$D7,IF(D$189<=4,Lookups!$F7,IF(D$189<=5,Lookups!$H7,IF(D$189<=10,$J7,IF(D$189<=15,Lookups!$L7,IF(D$189<=20,Lookups!$N7,Lookups!$P7))))))]]></f>
        <v>0</v>
      </c>
      <c r="E193" s="20">
        <f><![CDATA[IF($F$189<=3,Lookups!$C7,IF(F$189<=4,Lookups!$E7,IF(F$189<=5,Lookups!$G7,IF(F$189<=10,$I7,IF(F$189<=15,Lookups!$K7,IF(F$189<=20,Lookups!$M7,Lookups!$O7))))))]]></f>
        <v>0.4</v>
      </c>
      <c r="F193" s="36">
        <f><![CDATA[IF(F$189<=3,Lookups!$D7,IF(F$189<=4,Lookups!$F7,IF(F$189<=5,Lookups!$H7,IF(F$189<=10,$J7,IF(F$189<=15,Lookups!$L7,IF(F$189<=20,Lookups!$N7,Lookups!$P7))))))]]></f>
        <v>0</v>
      </c>
      <c r="G193" s="20">
        <f><![CDATA[IF($H$189<=3,Lookups!$C7,IF(H$189<=4,Lookups!$E7,IF(H$189<=5,Lookups!$G7,IF(H$189<=10,$I7,IF(H$189<=15,Lookups!$K7,IF(H$189<=20,Lookups!$M7,Lookups!$O7))))))]]></f>
        <v>0.4</v>
      </c>
      <c r="H193" s="36">
        <f><![CDATA[IF(H$189<=3,Lookups!$D7,IF(H$189<=4,Lookups!$F7,IF(H$189<=5,Lookups!$H7,IF(H$189<=10,$J7,IF(H$189<=15,Lookups!$L7,IF(H$189<=20,Lookups!$N7,Lookups!$P7))))))]]></f>
        <v>0</v>
      </c>
      <c r="I193" s="20">
        <f><![CDATA[IF($J$189<=3,Lookups!$C7,IF(J$189<=4,Lookups!$E7,IF(J$189<=5,Lookups!$G7,IF(J$189<=10,$I7,IF(J$189<=15,Lookups!$K7,IF(J$189<=20,Lookups!$M7,Lookups!$O7))))))]]></f>
        <v>0.4</v>
      </c>
      <c r="J193" s="36">
        <f><![CDATA[IF(J$189<=3,Lookups!$D7,IF(J$189<=4,Lookups!$F7,IF(J$189<=5,Lookups!$H7,IF(J$189<=10,$J7,IF(J$189<=15,Lookups!$L7,IF(J$189<=20,Lookups!$N7,Lookups!$P7))))))]]></f>
        <v>0</v>
      </c>
      <c r="K193" s="20">
        <f><![CDATA[IF($L$189<=3,Lookups!$C7,IF(L$189<=4,Lookups!$E7,IF(L$189<=5,Lookups!$G7,IF(L$189<=10,$I7,IF(L$189<=15,Lookups!$K7,IF(L$189<=20,Lookups!$M7,Lookups!$O7))))))]]></f>
        <v>0.4</v>
      </c>
      <c r="L193" s="36">
        <f><![CDATA[IF(L$189<=3,Lookups!$D7,IF(L$189<=4,Lookups!$F7,IF(L$189<=5,Lookups!$H7,IF(L$189<=10,$J7,IF(L$189<=15,Lookups!$L7,IF(L$189<=20,Lookups!$N7,Lookups!$P7))))))]]></f>
        <v>0</v>
      </c>
      <c r="M193" s="20">
        <f><![CDATA[IF($N$189<=3,Lookups!$C7,IF(N$189<=4,Lookups!$E7,IF(N$189<=5,Lookups!$G7,IF(N$189<=10,$I7,IF(N$189<=15,Lookups!$K7,IF(N$189<=20,Lookups!$M7,Lookups!$O7))))))]]></f>
        <v>0.4</v>
      </c>
      <c r="N193" s="36">
        <f><![CDATA[IF(N$189<=3,Lookups!$D7,IF(N$189<=4,Lookups!$F7,IF(N$189<=5,Lookups!$H7,IF(N$189<=10,$J7,IF(N$189<=15,Lookups!$L7,IF(N$189<=20,Lookups!$N7,Lookups!$P7))))))]]></f>
        <v>0</v>
      </c>
      <c r="O193" s="20">
        <f><![CDATA[IF($P$189<=3,Lookups!$C7,IF(P$189<=4,Lookups!$E7,IF(P$189<=5,Lookups!$G7,IF(P$189<=10,$I7,IF(P$189<=15,Lookups!$K7,IF(P$189<=20,Lookups!$M7,Lookups!$O7))))))]]></f>
        <v>0.4</v>
      </c>
      <c r="P193" s="36">
        <f><![CDATA[IF(P$189<=3,Lookups!$D7,IF(P$189<=4,Lookups!$F7,IF(P$189<=5,Lookups!$H7,IF(P$189<=10,$J7,IF(P$189<=15,Lookups!$L7,IF(P$189<=20,Lookups!$N7,Lookups!$P7))))))]]></f>
        <v>0</v>
      </c>
    </row>
    <row r="194" spans="2:18" x14ac:dyDescent="0.25">
      <c r="B194" s="18">
        <v>200000</v>
      </c>
      <c r="C194" s="20">
        <f><![CDATA[IF($D$189<=3,Lookups!$C8,IF(D$189<=4,Lookups!$E8,IF(D$189<=5,Lookups!$G8,IF(D$189<=10,$I8,IF(D$189<=15,Lookups!$K8,IF(D$189<=20,Lookups!$M8,Lookups!$O8))))))]]></f>
        <v>0.4</v>
      </c>
      <c r="D194" s="36">
        <f><![CDATA[IF(D$189<=3,Lookups!$D8,IF(D$189<=4,Lookups!$F8,IF(D$189<=5,Lookups!$H8,IF(D$189<=10,$J8,IF(D$189<=15,Lookups!$L8,IF(D$189<=20,Lookups!$N8,Lookups!$P8))))))]]></f>
        <v>0</v>
      </c>
      <c r="E194" s="20">
        <f><![CDATA[IF($F$189<=3,Lookups!$C8,IF(F$189<=4,Lookups!$E8,IF(F$189<=5,Lookups!$G8,IF(F$189<=10,$I8,IF(F$189<=15,Lookups!$K8,IF(F$189<=20,Lookups!$M8,Lookups!$O8))))))]]></f>
        <v>0.4</v>
      </c>
      <c r="F194" s="36">
        <f><![CDATA[IF(F$189<=3,Lookups!$D8,IF(F$189<=4,Lookups!$F8,IF(F$189<=5,Lookups!$H8,IF(F$189<=10,$J8,IF(F$189<=15,Lookups!$L8,IF(F$189<=20,Lookups!$N8,Lookups!$P8))))))]]></f>
        <v>0</v>
      </c>
      <c r="G194" s="20">
        <f><![CDATA[IF($H$189<=3,Lookups!$C8,IF(H$189<=4,Lookups!$E8,IF(H$189<=5,Lookups!$G8,IF(H$189<=10,$I8,IF(H$189<=15,Lookups!$K8,IF(H$189<=20,Lookups!$M8,Lookups!$O8))))))]]></f>
        <v>0.4</v>
      </c>
      <c r="H194" s="36">
        <f><![CDATA[IF(H$189<=3,Lookups!$D8,IF(H$189<=4,Lookups!$F8,IF(H$189<=5,Lookups!$H8,IF(H$189<=10,$J8,IF(H$189<=15,Lookups!$L8,IF(H$189<=20,Lookups!$N8,Lookups!$P8))))))]]></f>
        <v>0</v>
      </c>
      <c r="I194" s="20">
        <f><![CDATA[IF($J$189<=3,Lookups!$C8,IF(J$189<=4,Lookups!$E8,IF(J$189<=5,Lookups!$G8,IF(J$189<=10,$I8,IF(J$189<=15,Lookups!$K8,IF(J$189<=20,Lookups!$M8,Lookups!$O8))))))]]></f>
        <v>0.4</v>
      </c>
      <c r="J194" s="36">
        <f><![CDATA[IF(J$189<=3,Lookups!$D8,IF(J$189<=4,Lookups!$F8,IF(J$189<=5,Lookups!$H8,IF(J$189<=10,$J8,IF(J$189<=15,Lookups!$L8,IF(J$189<=20,Lookups!$N8,Lookups!$P8))))))]]></f>
        <v>0</v>
      </c>
      <c r="K194" s="20">
        <f><![CDATA[IF($L$189<=3,Lookups!$C8,IF(L$189<=4,Lookups!$E8,IF(L$189<=5,Lookups!$G8,IF(L$189<=10,$I8,IF(L$189<=15,Lookups!$K8,IF(L$189<=20,Lookups!$M8,Lookups!$O8))))))]]></f>
        <v>0.4</v>
      </c>
      <c r="L194" s="36">
        <f><![CDATA[IF(L$189<=3,Lookups!$D8,IF(L$189<=4,Lookups!$F8,IF(L$189<=5,Lookups!$H8,IF(L$189<=10,$J8,IF(L$189<=15,Lookups!$L8,IF(L$189<=20,Lookups!$N8,Lookups!$P8))))))]]></f>
        <v>0</v>
      </c>
      <c r="M194" s="20">
        <f><![CDATA[IF($N$189<=3,Lookups!$C8,IF(N$189<=4,Lookups!$E8,IF(N$189<=5,Lookups!$G8,IF(N$189<=10,$I8,IF(N$189<=15,Lookups!$K8,IF(N$189<=20,Lookups!$M8,Lookups!$O8))))))]]></f>
        <v>0.4</v>
      </c>
      <c r="N194" s="36">
        <f><![CDATA[IF(N$189<=3,Lookups!$D8,IF(N$189<=4,Lookups!$F8,IF(N$189<=5,Lookups!$H8,IF(N$189<=10,$J8,IF(N$189<=15,Lookups!$L8,IF(N$189<=20,Lookups!$N8,Lookups!$P8))))))]]></f>
        <v>0</v>
      </c>
      <c r="O194" s="20">
        <f><![CDATA[IF($P$189<=3,Lookups!$C8,IF(P$189<=4,Lookups!$E8,IF(P$189<=5,Lookups!$G8,IF(P$189<=10,$I8,IF(P$189<=15,Lookups!$K8,IF(P$189<=20,Lookups!$M8,Lookups!$O8))))))]]></f>
        <v>0.4</v>
      </c>
      <c r="P194" s="36">
        <f><![CDATA[IF(P$189<=3,Lookups!$D8,IF(P$189<=4,Lookups!$F8,IF(P$189<=5,Lookups!$H8,IF(P$189<=10,$J8,IF(P$189<=15,Lookups!$L8,IF(P$189<=20,Lookups!$N8,Lookups!$P8))))))]]></f>
        <v>0</v>
      </c>
    </row>
    <row r="195" spans="2:18" x14ac:dyDescent="0.25">
      <c r="B195" s="18">
        <v>300000</v>
      </c>
      <c r="C195" s="20">
        <f><![CDATA[IF($D$189<=3,Lookups!$C9,IF(D$189<=4,Lookups!$E9,IF(D$189<=5,Lookups!$G9,IF(D$189<=10,$I9,IF(D$189<=15,Lookups!$K9,IF(D$189<=20,Lookups!$M9,Lookups!$O9))))))]]></f>
        <v>0.4</v>
      </c>
      <c r="D195" s="36">
        <f><![CDATA[IF(D$189<=3,Lookups!$D9,IF(D$189<=4,Lookups!$F9,IF(D$189<=5,Lookups!$H9,IF(D$189<=10,$J9,IF(D$189<=15,Lookups!$L9,IF(D$189<=20,Lookups!$N9,Lookups!$P9))))))]]></f>
        <v>0</v>
      </c>
      <c r="E195" s="20">
        <f><![CDATA[IF($F$189<=3,Lookups!$C9,IF(F$189<=4,Lookups!$E9,IF(F$189<=5,Lookups!$G9,IF(F$189<=10,$I9,IF(F$189<=15,Lookups!$K9,IF(F$189<=20,Lookups!$M9,Lookups!$O9))))))]]></f>
        <v>0.4</v>
      </c>
      <c r="F195" s="36">
        <f><![CDATA[IF(F$189<=3,Lookups!$D9,IF(F$189<=4,Lookups!$F9,IF(F$189<=5,Lookups!$H9,IF(F$189<=10,$J9,IF(F$189<=15,Lookups!$L9,IF(F$189<=20,Lookups!$N9,Lookups!$P9))))))]]></f>
        <v>0</v>
      </c>
      <c r="G195" s="20">
        <f><![CDATA[IF($H$189<=3,Lookups!$C9,IF(H$189<=4,Lookups!$E9,IF(H$189<=5,Lookups!$G9,IF(H$189<=10,$I9,IF(H$189<=15,Lookups!$K9,IF(H$189<=20,Lookups!$M9,Lookups!$O9))))))]]></f>
        <v>0.4</v>
      </c>
      <c r="H195" s="36">
        <f><![CDATA[IF(H$189<=3,Lookups!$D9,IF(H$189<=4,Lookups!$F9,IF(H$189<=5,Lookups!$H9,IF(H$189<=10,$J9,IF(H$189<=15,Lookups!$L9,IF(H$189<=20,Lookups!$N9,Lookups!$P9))))))]]></f>
        <v>0</v>
      </c>
      <c r="I195" s="20">
        <f><![CDATA[IF($J$189<=3,Lookups!$C9,IF(J$189<=4,Lookups!$E9,IF(J$189<=5,Lookups!$G9,IF(J$189<=10,$I9,IF(J$189<=15,Lookups!$K9,IF(J$189<=20,Lookups!$M9,Lookups!$O9))))))]]></f>
        <v>0.4</v>
      </c>
      <c r="J195" s="36">
        <f><![CDATA[IF(J$189<=3,Lookups!$D9,IF(J$189<=4,Lookups!$F9,IF(J$189<=5,Lookups!$H9,IF(J$189<=10,$J9,IF(J$189<=15,Lookups!$L9,IF(J$189<=20,Lookups!$N9,Lookups!$P9))))))]]></f>
        <v>0</v>
      </c>
      <c r="K195" s="20">
        <f><![CDATA[IF($L$189<=3,Lookups!$C9,IF(L$189<=4,Lookups!$E9,IF(L$189<=5,Lookups!$G9,IF(L$189<=10,$I9,IF(L$189<=15,Lookups!$K9,IF(L$189<=20,Lookups!$M9,Lookups!$O9))))))]]></f>
        <v>0.4</v>
      </c>
      <c r="L195" s="36">
        <f><![CDATA[IF(L$189<=3,Lookups!$D9,IF(L$189<=4,Lookups!$F9,IF(L$189<=5,Lookups!$H9,IF(L$189<=10,$J9,IF(L$189<=15,Lookups!$L9,IF(L$189<=20,Lookups!$N9,Lookups!$P9))))))]]></f>
        <v>0</v>
      </c>
      <c r="M195" s="20">
        <f><![CDATA[IF($N$189<=3,Lookups!$C9,IF(N$189<=4,Lookups!$E9,IF(N$189<=5,Lookups!$G9,IF(N$189<=10,$I9,IF(N$189<=15,Lookups!$K9,IF(N$189<=20,Lookups!$M9,Lookups!$O9))))))]]></f>
        <v>0.4</v>
      </c>
      <c r="N195" s="36">
        <f><![CDATA[IF(N$189<=3,Lookups!$D9,IF(N$189<=4,Lookups!$F9,IF(N$189<=5,Lookups!$H9,IF(N$189<=10,$J9,IF(N$189<=15,Lookups!$L9,IF(N$189<=20,Lookups!$N9,Lookups!$P9))))))]]></f>
        <v>0</v>
      </c>
      <c r="O195" s="20">
        <f><![CDATA[IF($P$189<=3,Lookups!$C9,IF(P$189<=4,Lookups!$E9,IF(P$189<=5,Lookups!$G9,IF(P$189<=10,$I9,IF(P$189<=15,Lookups!$K9,IF(P$189<=20,Lookups!$M9,Lookups!$O9))))))]]></f>
        <v>0.4</v>
      </c>
      <c r="P195" s="36">
        <f><![CDATA[IF(P$189<=3,Lookups!$D9,IF(P$189<=4,Lookups!$F9,IF(P$189<=5,Lookups!$H9,IF(P$189<=10,$J9,IF(P$189<=15,Lookups!$L9,IF(P$189<=20,Lookups!$N9,Lookups!$P9))))))]]></f>
        <v>0</v>
      </c>
    </row>
    <row r="196" spans="2:18" x14ac:dyDescent="0.25">
      <c r="B196" s="18">
        <v>400000</v>
      </c>
      <c r="C196" s="20">
        <f><![CDATA[IF($D$189<=3,Lookups!$C10,IF(D$189<=4,Lookups!$E10,IF(D$189<=5,Lookups!$G10,IF(D$189<=10,$I10,IF(D$189<=15,Lookups!$K10,IF(D$189<=20,Lookups!$M10,Lookups!$O10))))))]]></f>
        <v>0.4</v>
      </c>
      <c r="D196" s="36">
        <f><![CDATA[IF(D$189<=3,Lookups!$D10,IF(D$189<=4,Lookups!$F10,IF(D$189<=5,Lookups!$H10,IF(D$189<=10,$J10,IF(D$189<=15,Lookups!$L10,IF(D$189<=20,Lookups!$N10,Lookups!$P10))))))]]></f>
        <v>0</v>
      </c>
      <c r="E196" s="20">
        <f><![CDATA[IF($F$189<=3,Lookups!$C10,IF(F$189<=4,Lookups!$E10,IF(F$189<=5,Lookups!$G10,IF(F$189<=10,$I10,IF(F$189<=15,Lookups!$K10,IF(F$189<=20,Lookups!$M10,Lookups!$O10))))))]]></f>
        <v>0.4</v>
      </c>
      <c r="F196" s="36">
        <f><![CDATA[IF(F$189<=3,Lookups!$D10,IF(F$189<=4,Lookups!$F10,IF(F$189<=5,Lookups!$H10,IF(F$189<=10,$J10,IF(F$189<=15,Lookups!$L10,IF(F$189<=20,Lookups!$N10,Lookups!$P10))))))]]></f>
        <v>0</v>
      </c>
      <c r="G196" s="20">
        <f><![CDATA[IF($H$189<=3,Lookups!$C10,IF(H$189<=4,Lookups!$E10,IF(H$189<=5,Lookups!$G10,IF(H$189<=10,$I10,IF(H$189<=15,Lookups!$K10,IF(H$189<=20,Lookups!$M10,Lookups!$O10))))))]]></f>
        <v>0.4</v>
      </c>
      <c r="H196" s="36">
        <f><![CDATA[IF(H$189<=3,Lookups!$D10,IF(H$189<=4,Lookups!$F10,IF(H$189<=5,Lookups!$H10,IF(H$189<=10,$J10,IF(H$189<=15,Lookups!$L10,IF(H$189<=20,Lookups!$N10,Lookups!$P10))))))]]></f>
        <v>0</v>
      </c>
      <c r="I196" s="20">
        <f><![CDATA[IF($J$189<=3,Lookups!$C10,IF(J$189<=4,Lookups!$E10,IF(J$189<=5,Lookups!$G10,IF(J$189<=10,$I10,IF(J$189<=15,Lookups!$K10,IF(J$189<=20,Lookups!$M10,Lookups!$O10))))))]]></f>
        <v>0.4</v>
      </c>
      <c r="J196" s="36">
        <f><![CDATA[IF(J$189<=3,Lookups!$D10,IF(J$189<=4,Lookups!$F10,IF(J$189<=5,Lookups!$H10,IF(J$189<=10,$J10,IF(J$189<=15,Lookups!$L10,IF(J$189<=20,Lookups!$N10,Lookups!$P10))))))]]></f>
        <v>0</v>
      </c>
      <c r="K196" s="20">
        <f><![CDATA[IF($L$189<=3,Lookups!$C10,IF(L$189<=4,Lookups!$E10,IF(L$189<=5,Lookups!$G10,IF(L$189<=10,$I10,IF(L$189<=15,Lookups!$K10,IF(L$189<=20,Lookups!$M10,Lookups!$O10))))))]]></f>
        <v>0.4</v>
      </c>
      <c r="L196" s="36">
        <f><![CDATA[IF(L$189<=3,Lookups!$D10,IF(L$189<=4,Lookups!$F10,IF(L$189<=5,Lookups!$H10,IF(L$189<=10,$J10,IF(L$189<=15,Lookups!$L10,IF(L$189<=20,Lookups!$N10,Lookups!$P10))))))]]></f>
        <v>0</v>
      </c>
      <c r="M196" s="20">
        <f><![CDATA[IF($N$189<=3,Lookups!$C10,IF(N$189<=4,Lookups!$E10,IF(N$189<=5,Lookups!$G10,IF(N$189<=10,$I10,IF(N$189<=15,Lookups!$K10,IF(N$189<=20,Lookups!$M10,Lookups!$O10))))))]]></f>
        <v>0.4</v>
      </c>
      <c r="N196" s="36">
        <f><![CDATA[IF(N$189<=3,Lookups!$D10,IF(N$189<=4,Lookups!$F10,IF(N$189<=5,Lookups!$H10,IF(N$189<=10,$J10,IF(N$189<=15,Lookups!$L10,IF(N$189<=20,Lookups!$N10,Lookups!$P10))))))]]></f>
        <v>0</v>
      </c>
      <c r="O196" s="20">
        <f><![CDATA[IF($P$189<=3,Lookups!$C10,IF(P$189<=4,Lookups!$E10,IF(P$189<=5,Lookups!$G10,IF(P$189<=10,$I10,IF(P$189<=15,Lookups!$K10,IF(P$189<=20,Lookups!$M10,Lookups!$O10))))))]]></f>
        <v>0.4</v>
      </c>
      <c r="P196" s="36">
        <f><![CDATA[IF(P$189<=3,Lookups!$D10,IF(P$189<=4,Lookups!$F10,IF(P$189<=5,Lookups!$H10,IF(P$189<=10,$J10,IF(P$189<=15,Lookups!$L10,IF(P$189<=20,Lookups!$N10,Lookups!$P10))))))]]></f>
        <v>0</v>
      </c>
      <c r="R196" t="s" s="0">
        <v>29</v>
      </c>
    </row>
    <row r="197" spans="2:18" x14ac:dyDescent="0.25">
      <c r="B197" s="18">
        <v>500000</v>
      </c>
      <c r="C197" s="20">
        <f><![CDATA[IF($D$189<=3,Lookups!$C11,IF(D$189<=4,Lookups!$E11,IF(D$189<=5,Lookups!$G11,IF(D$189<=10,$I11,IF(D$189<=15,Lookups!$K11,IF(D$189<=20,Lookups!$M11,Lookups!$O11))))))]]></f>
        <v>0.4</v>
      </c>
      <c r="D197" s="36">
        <f><![CDATA[IF(D$189<=3,Lookups!$D11,IF(D$189<=4,Lookups!$F11,IF(D$189<=5,Lookups!$H11,IF(D$189<=10,$J11,IF(D$189<=15,Lookups!$L11,IF(D$189<=20,Lookups!$N11,Lookups!$P11))))))]]></f>
        <v>0</v>
      </c>
      <c r="E197" s="20">
        <f><![CDATA[IF($F$189<=3,Lookups!$C11,IF(F$189<=4,Lookups!$E11,IF(F$189<=5,Lookups!$G11,IF(F$189<=10,$I11,IF(F$189<=15,Lookups!$K11,IF(F$189<=20,Lookups!$M11,Lookups!$O11))))))]]></f>
        <v>0.4</v>
      </c>
      <c r="F197" s="36">
        <f><![CDATA[IF(F$189<=3,Lookups!$D11,IF(F$189<=4,Lookups!$F11,IF(F$189<=5,Lookups!$H11,IF(F$189<=10,$J11,IF(F$189<=15,Lookups!$L11,IF(F$189<=20,Lookups!$N11,Lookups!$P11))))))]]></f>
        <v>0</v>
      </c>
      <c r="G197" s="20">
        <f><![CDATA[IF($H$189<=3,Lookups!$C11,IF(H$189<=4,Lookups!$E11,IF(H$189<=5,Lookups!$G11,IF(H$189<=10,$I11,IF(H$189<=15,Lookups!$K11,IF(H$189<=20,Lookups!$M11,Lookups!$O11))))))]]></f>
        <v>0.4</v>
      </c>
      <c r="H197" s="36">
        <f><![CDATA[IF(H$189<=3,Lookups!$D11,IF(H$189<=4,Lookups!$F11,IF(H$189<=5,Lookups!$H11,IF(H$189<=10,$J11,IF(H$189<=15,Lookups!$L11,IF(H$189<=20,Lookups!$N11,Lookups!$P11))))))]]></f>
        <v>0</v>
      </c>
      <c r="I197" s="20">
        <f><![CDATA[IF($J$189<=3,Lookups!$C11,IF(J$189<=4,Lookups!$E11,IF(J$189<=5,Lookups!$G11,IF(J$189<=10,$I11,IF(J$189<=15,Lookups!$K11,IF(J$189<=20,Lookups!$M11,Lookups!$O11))))))]]></f>
        <v>0.4</v>
      </c>
      <c r="J197" s="36">
        <f><![CDATA[IF(J$189<=3,Lookups!$D11,IF(J$189<=4,Lookups!$F11,IF(J$189<=5,Lookups!$H11,IF(J$189<=10,$J11,IF(J$189<=15,Lookups!$L11,IF(J$189<=20,Lookups!$N11,Lookups!$P11))))))]]></f>
        <v>0</v>
      </c>
      <c r="K197" s="20">
        <f><![CDATA[IF($L$189<=3,Lookups!$C11,IF(L$189<=4,Lookups!$E11,IF(L$189<=5,Lookups!$G11,IF(L$189<=10,$I11,IF(L$189<=15,Lookups!$K11,IF(L$189<=20,Lookups!$M11,Lookups!$O11))))))]]></f>
        <v>0.4</v>
      </c>
      <c r="L197" s="36">
        <f><![CDATA[IF(L$189<=3,Lookups!$D11,IF(L$189<=4,Lookups!$F11,IF(L$189<=5,Lookups!$H11,IF(L$189<=10,$J11,IF(L$189<=15,Lookups!$L11,IF(L$189<=20,Lookups!$N11,Lookups!$P11))))))]]></f>
        <v>0</v>
      </c>
      <c r="M197" s="20">
        <f><![CDATA[IF($N$189<=3,Lookups!$C11,IF(N$189<=4,Lookups!$E11,IF(N$189<=5,Lookups!$G11,IF(N$189<=10,$I11,IF(N$189<=15,Lookups!$K11,IF(N$189<=20,Lookups!$M11,Lookups!$O11))))))]]></f>
        <v>0.4</v>
      </c>
      <c r="N197" s="36">
        <f><![CDATA[IF(N$189<=3,Lookups!$D11,IF(N$189<=4,Lookups!$F11,IF(N$189<=5,Lookups!$H11,IF(N$189<=10,$J11,IF(N$189<=15,Lookups!$L11,IF(N$189<=20,Lookups!$N11,Lookups!$P11))))))]]></f>
        <v>0</v>
      </c>
      <c r="O197" s="20">
        <f><![CDATA[IF($P$189<=3,Lookups!$C11,IF(P$189<=4,Lookups!$E11,IF(P$189<=5,Lookups!$G11,IF(P$189<=10,$I11,IF(P$189<=15,Lookups!$K11,IF(P$189<=20,Lookups!$M11,Lookups!$O11))))))]]></f>
        <v>0.4</v>
      </c>
      <c r="P197" s="36">
        <f><![CDATA[IF(P$189<=3,Lookups!$D11,IF(P$189<=4,Lookups!$F11,IF(P$189<=5,Lookups!$H11,IF(P$189<=10,$J11,IF(P$189<=15,Lookups!$L11,IF(P$189<=20,Lookups!$N11,Lookups!$P11))))))]]></f>
        <v>0</v>
      </c>
    </row>
    <row r="198" spans="2:18" x14ac:dyDescent="0.25">
      <c r="B198" s="18">
        <v>600000</v>
      </c>
      <c r="C198" s="20">
        <f><![CDATA[IF($D$189<=3,Lookups!$C12,IF(D$189<=4,Lookups!$E12,IF(D$189<=5,Lookups!$G12,IF(D$189<=10,$I12,IF(D$189<=15,Lookups!$K12,IF(D$189<=20,Lookups!$M12,Lookups!$O12))))))]]></f>
        <v>0.4</v>
      </c>
      <c r="D198" s="36">
        <f><![CDATA[IF(D$189<=3,Lookups!$D12,IF(D$189<=4,Lookups!$F12,IF(D$189<=5,Lookups!$H12,IF(D$189<=10,$J12,IF(D$189<=15,Lookups!$L12,IF(D$189<=20,Lookups!$N12,Lookups!$P12))))))]]></f>
        <v>0</v>
      </c>
      <c r="E198" s="20">
        <f><![CDATA[IF($F$189<=3,Lookups!$C12,IF(F$189<=4,Lookups!$E12,IF(F$189<=5,Lookups!$G12,IF(F$189<=10,$I12,IF(F$189<=15,Lookups!$K12,IF(F$189<=20,Lookups!$M12,Lookups!$O12))))))]]></f>
        <v>0.4</v>
      </c>
      <c r="F198" s="36">
        <f><![CDATA[IF(F$189<=3,Lookups!$D12,IF(F$189<=4,Lookups!$F12,IF(F$189<=5,Lookups!$H12,IF(F$189<=10,$J12,IF(F$189<=15,Lookups!$L12,IF(F$189<=20,Lookups!$N12,Lookups!$P12))))))]]></f>
        <v>0</v>
      </c>
      <c r="G198" s="20">
        <f><![CDATA[IF($H$189<=3,Lookups!$C12,IF(H$189<=4,Lookups!$E12,IF(H$189<=5,Lookups!$G12,IF(H$189<=10,$I12,IF(H$189<=15,Lookups!$K12,IF(H$189<=20,Lookups!$M12,Lookups!$O12))))))]]></f>
        <v>0.4</v>
      </c>
      <c r="H198" s="36">
        <f><![CDATA[IF(H$189<=3,Lookups!$D12,IF(H$189<=4,Lookups!$F12,IF(H$189<=5,Lookups!$H12,IF(H$189<=10,$J12,IF(H$189<=15,Lookups!$L12,IF(H$189<=20,Lookups!$N12,Lookups!$P12))))))]]></f>
        <v>0</v>
      </c>
      <c r="I198" s="20">
        <f><![CDATA[IF($J$189<=3,Lookups!$C12,IF(J$189<=4,Lookups!$E12,IF(J$189<=5,Lookups!$G12,IF(J$189<=10,$I12,IF(J$189<=15,Lookups!$K12,IF(J$189<=20,Lookups!$M12,Lookups!$O12))))))]]></f>
        <v>0.4</v>
      </c>
      <c r="J198" s="36">
        <f><![CDATA[IF(J$189<=3,Lookups!$D12,IF(J$189<=4,Lookups!$F12,IF(J$189<=5,Lookups!$H12,IF(J$189<=10,$J12,IF(J$189<=15,Lookups!$L12,IF(J$189<=20,Lookups!$N12,Lookups!$P12))))))]]></f>
        <v>0</v>
      </c>
      <c r="K198" s="20">
        <f><![CDATA[IF($L$189<=3,Lookups!$C12,IF(L$189<=4,Lookups!$E12,IF(L$189<=5,Lookups!$G12,IF(L$189<=10,$I12,IF(L$189<=15,Lookups!$K12,IF(L$189<=20,Lookups!$M12,Lookups!$O12))))))]]></f>
        <v>0.4</v>
      </c>
      <c r="L198" s="36">
        <f><![CDATA[IF(L$189<=3,Lookups!$D12,IF(L$189<=4,Lookups!$F12,IF(L$189<=5,Lookups!$H12,IF(L$189<=10,$J12,IF(L$189<=15,Lookups!$L12,IF(L$189<=20,Lookups!$N12,Lookups!$P12))))))]]></f>
        <v>0</v>
      </c>
      <c r="M198" s="20">
        <f><![CDATA[IF($N$189<=3,Lookups!$C12,IF(N$189<=4,Lookups!$E12,IF(N$189<=5,Lookups!$G12,IF(N$189<=10,$I12,IF(N$189<=15,Lookups!$K12,IF(N$189<=20,Lookups!$M12,Lookups!$O12))))))]]></f>
        <v>0.4</v>
      </c>
      <c r="N198" s="36">
        <f><![CDATA[IF(N$189<=3,Lookups!$D12,IF(N$189<=4,Lookups!$F12,IF(N$189<=5,Lookups!$H12,IF(N$189<=10,$J12,IF(N$189<=15,Lookups!$L12,IF(N$189<=20,Lookups!$N12,Lookups!$P12))))))]]></f>
        <v>0</v>
      </c>
      <c r="O198" s="20">
        <f><![CDATA[IF($P$189<=3,Lookups!$C12,IF(P$189<=4,Lookups!$E12,IF(P$189<=5,Lookups!$G12,IF(P$189<=10,$I12,IF(P$189<=15,Lookups!$K12,IF(P$189<=20,Lookups!$M12,Lookups!$O12))))))]]></f>
        <v>0.4</v>
      </c>
      <c r="P198" s="36">
        <f><![CDATA[IF(P$189<=3,Lookups!$D12,IF(P$189<=4,Lookups!$F12,IF(P$189<=5,Lookups!$H12,IF(P$189<=10,$J12,IF(P$189<=15,Lookups!$L12,IF(P$189<=20,Lookups!$N12,Lookups!$P12))))))]]></f>
        <v>0</v>
      </c>
    </row>
    <row r="199" spans="2:18" x14ac:dyDescent="0.25">
      <c r="B199" s="18">
        <v>700000</v>
      </c>
      <c r="C199" s="20">
        <f><![CDATA[IF($D$189<=3,Lookups!$C13,IF(D$189<=4,Lookups!$E13,IF(D$189<=5,Lookups!$G13,IF(D$189<=10,$I13,IF(D$189<=15,Lookups!$K13,IF(D$189<=20,Lookups!$M13,Lookups!$O13))))))]]></f>
        <v>0.4</v>
      </c>
      <c r="D199" s="36">
        <f><![CDATA[IF(D$189<=3,Lookups!$D13,IF(D$189<=4,Lookups!$F13,IF(D$189<=5,Lookups!$H13,IF(D$189<=10,$J13,IF(D$189<=15,Lookups!$L13,IF(D$189<=20,Lookups!$N13,Lookups!$P13))))))]]></f>
        <v>0</v>
      </c>
      <c r="E199" s="20">
        <f><![CDATA[IF($F$189<=3,Lookups!$C13,IF(F$189<=4,Lookups!$E13,IF(F$189<=5,Lookups!$G13,IF(F$189<=10,$I13,IF(F$189<=15,Lookups!$K13,IF(F$189<=20,Lookups!$M13,Lookups!$O13))))))]]></f>
        <v>0.4</v>
      </c>
      <c r="F199" s="36">
        <f><![CDATA[IF(F$189<=3,Lookups!$D13,IF(F$189<=4,Lookups!$F13,IF(F$189<=5,Lookups!$H13,IF(F$189<=10,$J13,IF(F$189<=15,Lookups!$L13,IF(F$189<=20,Lookups!$N13,Lookups!$P13))))))]]></f>
        <v>0</v>
      </c>
      <c r="G199" s="20">
        <f><![CDATA[IF($H$189<=3,Lookups!$C13,IF(H$189<=4,Lookups!$E13,IF(H$189<=5,Lookups!$G13,IF(H$189<=10,$I13,IF(H$189<=15,Lookups!$K13,IF(H$189<=20,Lookups!$M13,Lookups!$O13))))))]]></f>
        <v>0.4</v>
      </c>
      <c r="H199" s="36">
        <f><![CDATA[IF(H$189<=3,Lookups!$D13,IF(H$189<=4,Lookups!$F13,IF(H$189<=5,Lookups!$H13,IF(H$189<=10,$J13,IF(H$189<=15,Lookups!$L13,IF(H$189<=20,Lookups!$N13,Lookups!$P13))))))]]></f>
        <v>0</v>
      </c>
      <c r="I199" s="20">
        <f><![CDATA[IF($J$189<=3,Lookups!$C13,IF(J$189<=4,Lookups!$E13,IF(J$189<=5,Lookups!$G13,IF(J$189<=10,$I13,IF(J$189<=15,Lookups!$K13,IF(J$189<=20,Lookups!$M13,Lookups!$O13))))))]]></f>
        <v>0.4</v>
      </c>
      <c r="J199" s="36">
        <f><![CDATA[IF(J$189<=3,Lookups!$D13,IF(J$189<=4,Lookups!$F13,IF(J$189<=5,Lookups!$H13,IF(J$189<=10,$J13,IF(J$189<=15,Lookups!$L13,IF(J$189<=20,Lookups!$N13,Lookups!$P13))))))]]></f>
        <v>0</v>
      </c>
      <c r="K199" s="20">
        <f><![CDATA[IF($L$189<=3,Lookups!$C13,IF(L$189<=4,Lookups!$E13,IF(L$189<=5,Lookups!$G13,IF(L$189<=10,$I13,IF(L$189<=15,Lookups!$K13,IF(L$189<=20,Lookups!$M13,Lookups!$O13))))))]]></f>
        <v>0.4</v>
      </c>
      <c r="L199" s="36">
        <f><![CDATA[IF(L$189<=3,Lookups!$D13,IF(L$189<=4,Lookups!$F13,IF(L$189<=5,Lookups!$H13,IF(L$189<=10,$J13,IF(L$189<=15,Lookups!$L13,IF(L$189<=20,Lookups!$N13,Lookups!$P13))))))]]></f>
        <v>0</v>
      </c>
      <c r="M199" s="20">
        <f><![CDATA[IF($N$189<=3,Lookups!$C13,IF(N$189<=4,Lookups!$E13,IF(N$189<=5,Lookups!$G13,IF(N$189<=10,$I13,IF(N$189<=15,Lookups!$K13,IF(N$189<=20,Lookups!$M13,Lookups!$O13))))))]]></f>
        <v>0.4</v>
      </c>
      <c r="N199" s="36">
        <f><![CDATA[IF(N$189<=3,Lookups!$D13,IF(N$189<=4,Lookups!$F13,IF(N$189<=5,Lookups!$H13,IF(N$189<=10,$J13,IF(N$189<=15,Lookups!$L13,IF(N$189<=20,Lookups!$N13,Lookups!$P13))))))]]></f>
        <v>0</v>
      </c>
      <c r="O199" s="20">
        <f><![CDATA[IF($P$189<=3,Lookups!$C13,IF(P$189<=4,Lookups!$E13,IF(P$189<=5,Lookups!$G13,IF(P$189<=10,$I13,IF(P$189<=15,Lookups!$K13,IF(P$189<=20,Lookups!$M13,Lookups!$O13))))))]]></f>
        <v>0.4</v>
      </c>
      <c r="P199" s="36">
        <f><![CDATA[IF(P$189<=3,Lookups!$D13,IF(P$189<=4,Lookups!$F13,IF(P$189<=5,Lookups!$H13,IF(P$189<=10,$J13,IF(P$189<=15,Lookups!$L13,IF(P$189<=20,Lookups!$N13,Lookups!$P13))))))]]></f>
        <v>0</v>
      </c>
    </row>
    <row r="200" spans="2:18" x14ac:dyDescent="0.25">
      <c r="B200" s="18">
        <v>800000</v>
      </c>
      <c r="C200" s="20">
        <f><![CDATA[IF($D$189<=3,Lookups!$C14,IF(D$189<=4,Lookups!$E14,IF(D$189<=5,Lookups!$G14,IF(D$189<=10,$I14,IF(D$189<=15,Lookups!$K14,IF(D$189<=20,Lookups!$M14,Lookups!$O14))))))]]></f>
        <v>0.4</v>
      </c>
      <c r="D200" s="36">
        <f><![CDATA[IF(D$189<=3,Lookups!$D14,IF(D$189<=4,Lookups!$F14,IF(D$189<=5,Lookups!$H14,IF(D$189<=10,$J14,IF(D$189<=15,Lookups!$L14,IF(D$189<=20,Lookups!$N14,Lookups!$P14))))))]]></f>
        <v>0</v>
      </c>
      <c r="E200" s="20">
        <f><![CDATA[IF($F$189<=3,Lookups!$C14,IF(F$189<=4,Lookups!$E14,IF(F$189<=5,Lookups!$G14,IF(F$189<=10,$I14,IF(F$189<=15,Lookups!$K14,IF(F$189<=20,Lookups!$M14,Lookups!$O14))))))]]></f>
        <v>0.4</v>
      </c>
      <c r="F200" s="36">
        <f><![CDATA[IF(F$189<=3,Lookups!$D14,IF(F$189<=4,Lookups!$F14,IF(F$189<=5,Lookups!$H14,IF(F$189<=10,$J14,IF(F$189<=15,Lookups!$L14,IF(F$189<=20,Lookups!$N14,Lookups!$P14))))))]]></f>
        <v>0</v>
      </c>
      <c r="G200" s="20">
        <f><![CDATA[IF($H$189<=3,Lookups!$C14,IF(H$189<=4,Lookups!$E14,IF(H$189<=5,Lookups!$G14,IF(H$189<=10,$I14,IF(H$189<=15,Lookups!$K14,IF(H$189<=20,Lookups!$M14,Lookups!$O14))))))]]></f>
        <v>0.4</v>
      </c>
      <c r="H200" s="36">
        <f><![CDATA[IF(H$189<=3,Lookups!$D14,IF(H$189<=4,Lookups!$F14,IF(H$189<=5,Lookups!$H14,IF(H$189<=10,$J14,IF(H$189<=15,Lookups!$L14,IF(H$189<=20,Lookups!$N14,Lookups!$P14))))))]]></f>
        <v>0</v>
      </c>
      <c r="I200" s="20">
        <f><![CDATA[IF($J$189<=3,Lookups!$C14,IF(J$189<=4,Lookups!$E14,IF(J$189<=5,Lookups!$G14,IF(J$189<=10,$I14,IF(J$189<=15,Lookups!$K14,IF(J$189<=20,Lookups!$M14,Lookups!$O14))))))]]></f>
        <v>0.4</v>
      </c>
      <c r="J200" s="36">
        <f><![CDATA[IF(J$189<=3,Lookups!$D14,IF(J$189<=4,Lookups!$F14,IF(J$189<=5,Lookups!$H14,IF(J$189<=10,$J14,IF(J$189<=15,Lookups!$L14,IF(J$189<=20,Lookups!$N14,Lookups!$P14))))))]]></f>
        <v>0</v>
      </c>
      <c r="K200" s="20">
        <f><![CDATA[IF($L$189<=3,Lookups!$C14,IF(L$189<=4,Lookups!$E14,IF(L$189<=5,Lookups!$G14,IF(L$189<=10,$I14,IF(L$189<=15,Lookups!$K14,IF(L$189<=20,Lookups!$M14,Lookups!$O14))))))]]></f>
        <v>0.4</v>
      </c>
      <c r="L200" s="36">
        <f><![CDATA[IF(L$189<=3,Lookups!$D14,IF(L$189<=4,Lookups!$F14,IF(L$189<=5,Lookups!$H14,IF(L$189<=10,$J14,IF(L$189<=15,Lookups!$L14,IF(L$189<=20,Lookups!$N14,Lookups!$P14))))))]]></f>
        <v>0</v>
      </c>
      <c r="M200" s="20">
        <f><![CDATA[IF($N$189<=3,Lookups!$C14,IF(N$189<=4,Lookups!$E14,IF(N$189<=5,Lookups!$G14,IF(N$189<=10,$I14,IF(N$189<=15,Lookups!$K14,IF(N$189<=20,Lookups!$M14,Lookups!$O14))))))]]></f>
        <v>0.4</v>
      </c>
      <c r="N200" s="36">
        <f><![CDATA[IF(N$189<=3,Lookups!$D14,IF(N$189<=4,Lookups!$F14,IF(N$189<=5,Lookups!$H14,IF(N$189<=10,$J14,IF(N$189<=15,Lookups!$L14,IF(N$189<=20,Lookups!$N14,Lookups!$P14))))))]]></f>
        <v>0</v>
      </c>
      <c r="O200" s="20">
        <f><![CDATA[IF($P$189<=3,Lookups!$C14,IF(P$189<=4,Lookups!$E14,IF(P$189<=5,Lookups!$G14,IF(P$189<=10,$I14,IF(P$189<=15,Lookups!$K14,IF(P$189<=20,Lookups!$M14,Lookups!$O14))))))]]></f>
        <v>0.4</v>
      </c>
      <c r="P200" s="36">
        <f><![CDATA[IF(P$189<=3,Lookups!$D14,IF(P$189<=4,Lookups!$F14,IF(P$189<=5,Lookups!$H14,IF(P$189<=10,$J14,IF(P$189<=15,Lookups!$L14,IF(P$189<=20,Lookups!$N14,Lookups!$P14))))))]]></f>
        <v>0</v>
      </c>
    </row>
    <row r="201" spans="2:18" x14ac:dyDescent="0.25">
      <c r="B201" s="18">
        <v>900000</v>
      </c>
      <c r="C201" s="20">
        <f><![CDATA[IF($D$189<=3,Lookups!$C15,IF(D$189<=4,Lookups!$E15,IF(D$189<=5,Lookups!$G15,IF(D$189<=10,$I15,IF(D$189<=15,Lookups!$K15,IF(D$189<=20,Lookups!$M15,Lookups!$O15))))))]]></f>
        <v>0.4</v>
      </c>
      <c r="D201" s="36">
        <f><![CDATA[IF(D$189<=3,Lookups!$D15,IF(D$189<=4,Lookups!$F15,IF(D$189<=5,Lookups!$H15,IF(D$189<=10,$J15,IF(D$189<=15,Lookups!$L15,IF(D$189<=20,Lookups!$N15,Lookups!$P15))))))]]></f>
        <v>0</v>
      </c>
      <c r="E201" s="20">
        <f><![CDATA[IF($F$189<=3,Lookups!$C15,IF(F$189<=4,Lookups!$E15,IF(F$189<=5,Lookups!$G15,IF(F$189<=10,$I15,IF(F$189<=15,Lookups!$K15,IF(F$189<=20,Lookups!$M15,Lookups!$O15))))))]]></f>
        <v>0.4</v>
      </c>
      <c r="F201" s="36">
        <f><![CDATA[IF(F$189<=3,Lookups!$D15,IF(F$189<=4,Lookups!$F15,IF(F$189<=5,Lookups!$H15,IF(F$189<=10,$J15,IF(F$189<=15,Lookups!$L15,IF(F$189<=20,Lookups!$N15,Lookups!$P15))))))]]></f>
        <v>0</v>
      </c>
      <c r="G201" s="20">
        <f><![CDATA[IF($H$189<=3,Lookups!$C15,IF(H$189<=4,Lookups!$E15,IF(H$189<=5,Lookups!$G15,IF(H$189<=10,$I15,IF(H$189<=15,Lookups!$K15,IF(H$189<=20,Lookups!$M15,Lookups!$O15))))))]]></f>
        <v>0.4</v>
      </c>
      <c r="H201" s="36">
        <f><![CDATA[IF(H$189<=3,Lookups!$D15,IF(H$189<=4,Lookups!$F15,IF(H$189<=5,Lookups!$H15,IF(H$189<=10,$J15,IF(H$189<=15,Lookups!$L15,IF(H$189<=20,Lookups!$N15,Lookups!$P15))))))]]></f>
        <v>0</v>
      </c>
      <c r="I201" s="20">
        <f><![CDATA[IF($J$189<=3,Lookups!$C15,IF(J$189<=4,Lookups!$E15,IF(J$189<=5,Lookups!$G15,IF(J$189<=10,$I15,IF(J$189<=15,Lookups!$K15,IF(J$189<=20,Lookups!$M15,Lookups!$O15))))))]]></f>
        <v>0.4</v>
      </c>
      <c r="J201" s="36">
        <f><![CDATA[IF(J$189<=3,Lookups!$D15,IF(J$189<=4,Lookups!$F15,IF(J$189<=5,Lookups!$H15,IF(J$189<=10,$J15,IF(J$189<=15,Lookups!$L15,IF(J$189<=20,Lookups!$N15,Lookups!$P15))))))]]></f>
        <v>0</v>
      </c>
      <c r="K201" s="20">
        <f><![CDATA[IF($L$189<=3,Lookups!$C15,IF(L$189<=4,Lookups!$E15,IF(L$189<=5,Lookups!$G15,IF(L$189<=10,$I15,IF(L$189<=15,Lookups!$K15,IF(L$189<=20,Lookups!$M15,Lookups!$O15))))))]]></f>
        <v>0.4</v>
      </c>
      <c r="L201" s="36">
        <f><![CDATA[IF(L$189<=3,Lookups!$D15,IF(L$189<=4,Lookups!$F15,IF(L$189<=5,Lookups!$H15,IF(L$189<=10,$J15,IF(L$189<=15,Lookups!$L15,IF(L$189<=20,Lookups!$N15,Lookups!$P15))))))]]></f>
        <v>0</v>
      </c>
      <c r="M201" s="20">
        <f><![CDATA[IF($N$189<=3,Lookups!$C15,IF(N$189<=4,Lookups!$E15,IF(N$189<=5,Lookups!$G15,IF(N$189<=10,$I15,IF(N$189<=15,Lookups!$K15,IF(N$189<=20,Lookups!$M15,Lookups!$O15))))))]]></f>
        <v>0.4</v>
      </c>
      <c r="N201" s="36">
        <f><![CDATA[IF(N$189<=3,Lookups!$D15,IF(N$189<=4,Lookups!$F15,IF(N$189<=5,Lookups!$H15,IF(N$189<=10,$J15,IF(N$189<=15,Lookups!$L15,IF(N$189<=20,Lookups!$N15,Lookups!$P15))))))]]></f>
        <v>0</v>
      </c>
      <c r="O201" s="20">
        <f><![CDATA[IF($P$189<=3,Lookups!$C15,IF(P$189<=4,Lookups!$E15,IF(P$189<=5,Lookups!$G15,IF(P$189<=10,$I15,IF(P$189<=15,Lookups!$K15,IF(P$189<=20,Lookups!$M15,Lookups!$O15))))))]]></f>
        <v>0.4</v>
      </c>
      <c r="P201" s="36">
        <f><![CDATA[IF(P$189<=3,Lookups!$D15,IF(P$189<=4,Lookups!$F15,IF(P$189<=5,Lookups!$H15,IF(P$189<=10,$J15,IF(P$189<=15,Lookups!$L15,IF(P$189<=20,Lookups!$N15,Lookups!$P15))))))]]></f>
        <v>0</v>
      </c>
    </row>
    <row r="202" spans="2:18" x14ac:dyDescent="0.25">
      <c r="B202" s="18">
        <v>1000000</v>
      </c>
      <c r="C202" s="20">
        <f><![CDATA[IF($D$189<=3,Lookups!$C16,IF(D$189<=4,Lookups!$E16,IF(D$189<=5,Lookups!$G16,IF(D$189<=10,$I16,IF(D$189<=15,Lookups!$K16,IF(D$189<=20,Lookups!$M16,Lookups!$O16))))))]]></f>
        <v>0.4</v>
      </c>
      <c r="D202" s="36">
        <f><![CDATA[IF(D$189<=3,Lookups!$D16,IF(D$189<=4,Lookups!$F16,IF(D$189<=5,Lookups!$H16,IF(D$189<=10,$J16,IF(D$189<=15,Lookups!$L16,IF(D$189<=20,Lookups!$N16,Lookups!$P16))))))]]></f>
        <v>0</v>
      </c>
      <c r="E202" s="20">
        <f><![CDATA[IF($F$189<=3,Lookups!$C16,IF(F$189<=4,Lookups!$E16,IF(F$189<=5,Lookups!$G16,IF(F$189<=10,$I16,IF(F$189<=15,Lookups!$K16,IF(F$189<=20,Lookups!$M16,Lookups!$O16))))))]]></f>
        <v>0.4</v>
      </c>
      <c r="F202" s="36">
        <f><![CDATA[IF(F$189<=3,Lookups!$D16,IF(F$189<=4,Lookups!$F16,IF(F$189<=5,Lookups!$H16,IF(F$189<=10,$J16,IF(F$189<=15,Lookups!$L16,IF(F$189<=20,Lookups!$N16,Lookups!$P16))))))]]></f>
        <v>0</v>
      </c>
      <c r="G202" s="20">
        <f><![CDATA[IF($H$189<=3,Lookups!$C16,IF(H$189<=4,Lookups!$E16,IF(H$189<=5,Lookups!$G16,IF(H$189<=10,$I16,IF(H$189<=15,Lookups!$K16,IF(H$189<=20,Lookups!$M16,Lookups!$O16))))))]]></f>
        <v>0.4</v>
      </c>
      <c r="H202" s="36">
        <f><![CDATA[IF(H$189<=3,Lookups!$D16,IF(H$189<=4,Lookups!$F16,IF(H$189<=5,Lookups!$H16,IF(H$189<=10,$J16,IF(H$189<=15,Lookups!$L16,IF(H$189<=20,Lookups!$N16,Lookups!$P16))))))]]></f>
        <v>0</v>
      </c>
      <c r="I202" s="20">
        <f><![CDATA[IF($J$189<=3,Lookups!$C16,IF(J$189<=4,Lookups!$E16,IF(J$189<=5,Lookups!$G16,IF(J$189<=10,$I16,IF(J$189<=15,Lookups!$K16,IF(J$189<=20,Lookups!$M16,Lookups!$O16))))))]]></f>
        <v>0.4</v>
      </c>
      <c r="J202" s="36">
        <f><![CDATA[IF(J$189<=3,Lookups!$D16,IF(J$189<=4,Lookups!$F16,IF(J$189<=5,Lookups!$H16,IF(J$189<=10,$J16,IF(J$189<=15,Lookups!$L16,IF(J$189<=20,Lookups!$N16,Lookups!$P16))))))]]></f>
        <v>0</v>
      </c>
      <c r="K202" s="20">
        <f><![CDATA[IF($L$189<=3,Lookups!$C16,IF(L$189<=4,Lookups!$E16,IF(L$189<=5,Lookups!$G16,IF(L$189<=10,$I16,IF(L$189<=15,Lookups!$K16,IF(L$189<=20,Lookups!$M16,Lookups!$O16))))))]]></f>
        <v>0.4</v>
      </c>
      <c r="L202" s="36">
        <f><![CDATA[IF(L$189<=3,Lookups!$D16,IF(L$189<=4,Lookups!$F16,IF(L$189<=5,Lookups!$H16,IF(L$189<=10,$J16,IF(L$189<=15,Lookups!$L16,IF(L$189<=20,Lookups!$N16,Lookups!$P16))))))]]></f>
        <v>0</v>
      </c>
      <c r="M202" s="20">
        <f><![CDATA[IF($N$189<=3,Lookups!$C16,IF(N$189<=4,Lookups!$E16,IF(N$189<=5,Lookups!$G16,IF(N$189<=10,$I16,IF(N$189<=15,Lookups!$K16,IF(N$189<=20,Lookups!$M16,Lookups!$O16))))))]]></f>
        <v>0.4</v>
      </c>
      <c r="N202" s="36">
        <f><![CDATA[IF(N$189<=3,Lookups!$D16,IF(N$189<=4,Lookups!$F16,IF(N$189<=5,Lookups!$H16,IF(N$189<=10,$J16,IF(N$189<=15,Lookups!$L16,IF(N$189<=20,Lookups!$N16,Lookups!$P16))))))]]></f>
        <v>0</v>
      </c>
      <c r="O202" s="20">
        <f><![CDATA[IF($P$189<=3,Lookups!$C16,IF(P$189<=4,Lookups!$E16,IF(P$189<=5,Lookups!$G16,IF(P$189<=10,$I16,IF(P$189<=15,Lookups!$K16,IF(P$189<=20,Lookups!$M16,Lookups!$O16))))))]]></f>
        <v>0.4</v>
      </c>
      <c r="P202" s="36">
        <f><![CDATA[IF(P$189<=3,Lookups!$D16,IF(P$189<=4,Lookups!$F16,IF(P$189<=5,Lookups!$H16,IF(P$189<=10,$J16,IF(P$189<=15,Lookups!$L16,IF(P$189<=20,Lookups!$N16,Lookups!$P16))))))]]></f>
        <v>0</v>
      </c>
    </row>
    <row r="203" spans="2:18" x14ac:dyDescent="0.25">
      <c r="B203" s="18">
        <v>1100000</v>
      </c>
      <c r="C203" s="20">
        <f><![CDATA[IF($D$189<=3,Lookups!$C17,IF(D$189<=4,Lookups!$E17,IF(D$189<=5,Lookups!$G17,IF(D$189<=10,$I17,IF(D$189<=15,Lookups!$K17,IF(D$189<=20,Lookups!$M17,Lookups!$O17))))))]]></f>
        <v>0.4</v>
      </c>
      <c r="D203" s="36">
        <f><![CDATA[IF(D$189<=3,Lookups!$D17,IF(D$189<=4,Lookups!$F17,IF(D$189<=5,Lookups!$H17,IF(D$189<=10,$J17,IF(D$189<=15,Lookups!$L17,IF(D$189<=20,Lookups!$N17,Lookups!$P17))))))]]></f>
        <v>0.01</v>
      </c>
      <c r="E203" s="20">
        <f><![CDATA[IF($F$189<=3,Lookups!$C17,IF(F$189<=4,Lookups!$E17,IF(F$189<=5,Lookups!$G17,IF(F$189<=10,$I17,IF(F$189<=15,Lookups!$K17,IF(F$189<=20,Lookups!$M17,Lookups!$O17))))))]]></f>
        <v>0.4</v>
      </c>
      <c r="F203" s="36">
        <f><![CDATA[IF(F$189<=3,Lookups!$D17,IF(F$189<=4,Lookups!$F17,IF(F$189<=5,Lookups!$H17,IF(F$189<=10,$J17,IF(F$189<=15,Lookups!$L17,IF(F$189<=20,Lookups!$N17,Lookups!$P17))))))]]></f>
        <v>0.01</v>
      </c>
      <c r="G203" s="20">
        <f><![CDATA[IF($H$189<=3,Lookups!$C17,IF(H$189<=4,Lookups!$E17,IF(H$189<=5,Lookups!$G17,IF(H$189<=10,$I17,IF(H$189<=15,Lookups!$K17,IF(H$189<=20,Lookups!$M17,Lookups!$O17))))))]]></f>
        <v>0.4</v>
      </c>
      <c r="H203" s="36">
        <f><![CDATA[IF(H$189<=3,Lookups!$D17,IF(H$189<=4,Lookups!$F17,IF(H$189<=5,Lookups!$H17,IF(H$189<=10,$J17,IF(H$189<=15,Lookups!$L17,IF(H$189<=20,Lookups!$N17,Lookups!$P17))))))]]></f>
        <v>0.01</v>
      </c>
      <c r="I203" s="20">
        <f><![CDATA[IF($J$189<=3,Lookups!$C17,IF(J$189<=4,Lookups!$E17,IF(J$189<=5,Lookups!$G17,IF(J$189<=10,$I17,IF(J$189<=15,Lookups!$K17,IF(J$189<=20,Lookups!$M17,Lookups!$O17))))))]]></f>
        <v>0.4</v>
      </c>
      <c r="J203" s="36">
        <f><![CDATA[IF(J$189<=3,Lookups!$D17,IF(J$189<=4,Lookups!$F17,IF(J$189<=5,Lookups!$H17,IF(J$189<=10,$J17,IF(J$189<=15,Lookups!$L17,IF(J$189<=20,Lookups!$N17,Lookups!$P17))))))]]></f>
        <v>0.01</v>
      </c>
      <c r="K203" s="20">
        <f><![CDATA[IF($L$189<=3,Lookups!$C17,IF(L$189<=4,Lookups!$E17,IF(L$189<=5,Lookups!$G17,IF(L$189<=10,$I17,IF(L$189<=15,Lookups!$K17,IF(L$189<=20,Lookups!$M17,Lookups!$O17))))))]]></f>
        <v>0.4</v>
      </c>
      <c r="L203" s="36">
        <f><![CDATA[IF(L$189<=3,Lookups!$D17,IF(L$189<=4,Lookups!$F17,IF(L$189<=5,Lookups!$H17,IF(L$189<=10,$J17,IF(L$189<=15,Lookups!$L17,IF(L$189<=20,Lookups!$N17,Lookups!$P17))))))]]></f>
        <v>0.01</v>
      </c>
      <c r="M203" s="20">
        <f><![CDATA[IF($N$189<=3,Lookups!$C17,IF(N$189<=4,Lookups!$E17,IF(N$189<=5,Lookups!$G17,IF(N$189<=10,$I17,IF(N$189<=15,Lookups!$K17,IF(N$189<=20,Lookups!$M17,Lookups!$O17))))))]]></f>
        <v>0.4</v>
      </c>
      <c r="N203" s="36">
        <f><![CDATA[IF(N$189<=3,Lookups!$D17,IF(N$189<=4,Lookups!$F17,IF(N$189<=5,Lookups!$H17,IF(N$189<=10,$J17,IF(N$189<=15,Lookups!$L17,IF(N$189<=20,Lookups!$N17,Lookups!$P17))))))]]></f>
        <v>0.01</v>
      </c>
      <c r="O203" s="20">
        <f><![CDATA[IF($P$189<=3,Lookups!$C17,IF(P$189<=4,Lookups!$E17,IF(P$189<=5,Lookups!$G17,IF(P$189<=10,$I17,IF(P$189<=15,Lookups!$K17,IF(P$189<=20,Lookups!$M17,Lookups!$O17))))))]]></f>
        <v>0.4</v>
      </c>
      <c r="P203" s="36">
        <f><![CDATA[IF(P$189<=3,Lookups!$D17,IF(P$189<=4,Lookups!$F17,IF(P$189<=5,Lookups!$H17,IF(P$189<=10,$J17,IF(P$189<=15,Lookups!$L17,IF(P$189<=20,Lookups!$N17,Lookups!$P17))))))]]></f>
        <v>0.01</v>
      </c>
    </row>
    <row r="204" spans="2:18" x14ac:dyDescent="0.25">
      <c r="B204" s="18">
        <v>1200000</v>
      </c>
      <c r="C204" s="20">
        <f><![CDATA[IF($D$189<=3,Lookups!$C18,IF(D$189<=4,Lookups!$E18,IF(D$189<=5,Lookups!$G18,IF(D$189<=10,$I18,IF(D$189<=15,Lookups!$K18,IF(D$189<=20,Lookups!$M18,Lookups!$O18))))))]]></f>
        <v>0.4</v>
      </c>
      <c r="D204" s="36">
        <f><![CDATA[IF(D$189<=3,Lookups!$D18,IF(D$189<=4,Lookups!$F18,IF(D$189<=5,Lookups!$H18,IF(D$189<=10,$J18,IF(D$189<=15,Lookups!$L18,IF(D$189<=20,Lookups!$N18,Lookups!$P18))))))]]></f>
        <v>0.01</v>
      </c>
      <c r="E204" s="20">
        <f><![CDATA[IF($F$189<=3,Lookups!$C18,IF(F$189<=4,Lookups!$E18,IF(F$189<=5,Lookups!$G18,IF(F$189<=10,$I18,IF(F$189<=15,Lookups!$K18,IF(F$189<=20,Lookups!$M18,Lookups!$O18))))))]]></f>
        <v>0.4</v>
      </c>
      <c r="F204" s="36">
        <f><![CDATA[IF(F$189<=3,Lookups!$D18,IF(F$189<=4,Lookups!$F18,IF(F$189<=5,Lookups!$H18,IF(F$189<=10,$J18,IF(F$189<=15,Lookups!$L18,IF(F$189<=20,Lookups!$N18,Lookups!$P18))))))]]></f>
        <v>0.01</v>
      </c>
      <c r="G204" s="20">
        <f><![CDATA[IF($H$189<=3,Lookups!$C18,IF(H$189<=4,Lookups!$E18,IF(H$189<=5,Lookups!$G18,IF(H$189<=10,$I18,IF(H$189<=15,Lookups!$K18,IF(H$189<=20,Lookups!$M18,Lookups!$O18))))))]]></f>
        <v>0.4</v>
      </c>
      <c r="H204" s="36">
        <f><![CDATA[IF(H$189<=3,Lookups!$D18,IF(H$189<=4,Lookups!$F18,IF(H$189<=5,Lookups!$H18,IF(H$189<=10,$J18,IF(H$189<=15,Lookups!$L18,IF(H$189<=20,Lookups!$N18,Lookups!$P18))))))]]></f>
        <v>0.01</v>
      </c>
      <c r="I204" s="20">
        <f><![CDATA[IF($J$189<=3,Lookups!$C18,IF(J$189<=4,Lookups!$E18,IF(J$189<=5,Lookups!$G18,IF(J$189<=10,$I18,IF(J$189<=15,Lookups!$K18,IF(J$189<=20,Lookups!$M18,Lookups!$O18))))))]]></f>
        <v>0.4</v>
      </c>
      <c r="J204" s="36">
        <f><![CDATA[IF(J$189<=3,Lookups!$D18,IF(J$189<=4,Lookups!$F18,IF(J$189<=5,Lookups!$H18,IF(J$189<=10,$J18,IF(J$189<=15,Lookups!$L18,IF(J$189<=20,Lookups!$N18,Lookups!$P18))))))]]></f>
        <v>0.01</v>
      </c>
      <c r="K204" s="20">
        <f><![CDATA[IF($L$189<=3,Lookups!$C18,IF(L$189<=4,Lookups!$E18,IF(L$189<=5,Lookups!$G18,IF(L$189<=10,$I18,IF(L$189<=15,Lookups!$K18,IF(L$189<=20,Lookups!$M18,Lookups!$O18))))))]]></f>
        <v>0.4</v>
      </c>
      <c r="L204" s="36">
        <f><![CDATA[IF(L$189<=3,Lookups!$D18,IF(L$189<=4,Lookups!$F18,IF(L$189<=5,Lookups!$H18,IF(L$189<=10,$J18,IF(L$189<=15,Lookups!$L18,IF(L$189<=20,Lookups!$N18,Lookups!$P18))))))]]></f>
        <v>0.01</v>
      </c>
      <c r="M204" s="20">
        <f><![CDATA[IF($N$189<=3,Lookups!$C18,IF(N$189<=4,Lookups!$E18,IF(N$189<=5,Lookups!$G18,IF(N$189<=10,$I18,IF(N$189<=15,Lookups!$K18,IF(N$189<=20,Lookups!$M18,Lookups!$O18))))))]]></f>
        <v>0.4</v>
      </c>
      <c r="N204" s="36">
        <f><![CDATA[IF(N$189<=3,Lookups!$D18,IF(N$189<=4,Lookups!$F18,IF(N$189<=5,Lookups!$H18,IF(N$189<=10,$J18,IF(N$189<=15,Lookups!$L18,IF(N$189<=20,Lookups!$N18,Lookups!$P18))))))]]></f>
        <v>0.01</v>
      </c>
      <c r="O204" s="20">
        <f><![CDATA[IF($P$189<=3,Lookups!$C18,IF(P$189<=4,Lookups!$E18,IF(P$189<=5,Lookups!$G18,IF(P$189<=10,$I18,IF(P$189<=15,Lookups!$K18,IF(P$189<=20,Lookups!$M18,Lookups!$O18))))))]]></f>
        <v>0.4</v>
      </c>
      <c r="P204" s="36">
        <f><![CDATA[IF(P$189<=3,Lookups!$D18,IF(P$189<=4,Lookups!$F18,IF(P$189<=5,Lookups!$H18,IF(P$189<=10,$J18,IF(P$189<=15,Lookups!$L18,IF(P$189<=20,Lookups!$N18,Lookups!$P18))))))]]></f>
        <v>0.01</v>
      </c>
    </row>
    <row r="205" spans="2:18" x14ac:dyDescent="0.25">
      <c r="B205" s="18">
        <v>1300000</v>
      </c>
      <c r="C205" s="20">
        <f><![CDATA[IF($D$189<=3,Lookups!$C19,IF(D$189<=4,Lookups!$E19,IF(D$189<=5,Lookups!$G19,IF(D$189<=10,$I19,IF(D$189<=15,Lookups!$K19,IF(D$189<=20,Lookups!$M19,Lookups!$O19))))))]]></f>
        <v>0.4</v>
      </c>
      <c r="D205" s="36">
        <f><![CDATA[IF(D$189<=3,Lookups!$D19,IF(D$189<=4,Lookups!$F19,IF(D$189<=5,Lookups!$H19,IF(D$189<=10,$J19,IF(D$189<=15,Lookups!$L19,IF(D$189<=20,Lookups!$N19,Lookups!$P19))))))]]></f>
        <v>0.01</v>
      </c>
      <c r="E205" s="20">
        <f><![CDATA[IF($F$189<=3,Lookups!$C19,IF(F$189<=4,Lookups!$E19,IF(F$189<=5,Lookups!$G19,IF(F$189<=10,$I19,IF(F$189<=15,Lookups!$K19,IF(F$189<=20,Lookups!$M19,Lookups!$O19))))))]]></f>
        <v>0.4</v>
      </c>
      <c r="F205" s="36">
        <f><![CDATA[IF(F$189<=3,Lookups!$D19,IF(F$189<=4,Lookups!$F19,IF(F$189<=5,Lookups!$H19,IF(F$189<=10,$J19,IF(F$189<=15,Lookups!$L19,IF(F$189<=20,Lookups!$N19,Lookups!$P19))))))]]></f>
        <v>0.01</v>
      </c>
      <c r="G205" s="20">
        <f><![CDATA[IF($H$189<=3,Lookups!$C19,IF(H$189<=4,Lookups!$E19,IF(H$189<=5,Lookups!$G19,IF(H$189<=10,$I19,IF(H$189<=15,Lookups!$K19,IF(H$189<=20,Lookups!$M19,Lookups!$O19))))))]]></f>
        <v>0.4</v>
      </c>
      <c r="H205" s="36">
        <f><![CDATA[IF(H$189<=3,Lookups!$D19,IF(H$189<=4,Lookups!$F19,IF(H$189<=5,Lookups!$H19,IF(H$189<=10,$J19,IF(H$189<=15,Lookups!$L19,IF(H$189<=20,Lookups!$N19,Lookups!$P19))))))]]></f>
        <v>0.01</v>
      </c>
      <c r="I205" s="20">
        <f><![CDATA[IF($J$189<=3,Lookups!$C19,IF(J$189<=4,Lookups!$E19,IF(J$189<=5,Lookups!$G19,IF(J$189<=10,$I19,IF(J$189<=15,Lookups!$K19,IF(J$189<=20,Lookups!$M19,Lookups!$O19))))))]]></f>
        <v>0.4</v>
      </c>
      <c r="J205" s="36">
        <f><![CDATA[IF(J$189<=3,Lookups!$D19,IF(J$189<=4,Lookups!$F19,IF(J$189<=5,Lookups!$H19,IF(J$189<=10,$J19,IF(J$189<=15,Lookups!$L19,IF(J$189<=20,Lookups!$N19,Lookups!$P19))))))]]></f>
        <v>0.01</v>
      </c>
      <c r="K205" s="20">
        <f><![CDATA[IF($L$189<=3,Lookups!$C19,IF(L$189<=4,Lookups!$E19,IF(L$189<=5,Lookups!$G19,IF(L$189<=10,$I19,IF(L$189<=15,Lookups!$K19,IF(L$189<=20,Lookups!$M19,Lookups!$O19))))))]]></f>
        <v>0.4</v>
      </c>
      <c r="L205" s="36">
        <f><![CDATA[IF(L$189<=3,Lookups!$D19,IF(L$189<=4,Lookups!$F19,IF(L$189<=5,Lookups!$H19,IF(L$189<=10,$J19,IF(L$189<=15,Lookups!$L19,IF(L$189<=20,Lookups!$N19,Lookups!$P19))))))]]></f>
        <v>0.01</v>
      </c>
      <c r="M205" s="20">
        <f><![CDATA[IF($N$189<=3,Lookups!$C19,IF(N$189<=4,Lookups!$E19,IF(N$189<=5,Lookups!$G19,IF(N$189<=10,$I19,IF(N$189<=15,Lookups!$K19,IF(N$189<=20,Lookups!$M19,Lookups!$O19))))))]]></f>
        <v>0.4</v>
      </c>
      <c r="N205" s="36">
        <f><![CDATA[IF(N$189<=3,Lookups!$D19,IF(N$189<=4,Lookups!$F19,IF(N$189<=5,Lookups!$H19,IF(N$189<=10,$J19,IF(N$189<=15,Lookups!$L19,IF(N$189<=20,Lookups!$N19,Lookups!$P19))))))]]></f>
        <v>0.01</v>
      </c>
      <c r="O205" s="20">
        <f><![CDATA[IF($P$189<=3,Lookups!$C19,IF(P$189<=4,Lookups!$E19,IF(P$189<=5,Lookups!$G19,IF(P$189<=10,$I19,IF(P$189<=15,Lookups!$K19,IF(P$189<=20,Lookups!$M19,Lookups!$O19))))))]]></f>
        <v>0.4</v>
      </c>
      <c r="P205" s="36">
        <f><![CDATA[IF(P$189<=3,Lookups!$D19,IF(P$189<=4,Lookups!$F19,IF(P$189<=5,Lookups!$H19,IF(P$189<=10,$J19,IF(P$189<=15,Lookups!$L19,IF(P$189<=20,Lookups!$N19,Lookups!$P19))))))]]></f>
        <v>0.01</v>
      </c>
    </row>
    <row r="206" spans="2:18" x14ac:dyDescent="0.25">
      <c r="B206" s="18">
        <v>1400000</v>
      </c>
      <c r="C206" s="20">
        <f><![CDATA[IF($D$189<=3,Lookups!$C20,IF(D$189<=4,Lookups!$E20,IF(D$189<=5,Lookups!$G20,IF(D$189<=10,$I20,IF(D$189<=15,Lookups!$K20,IF(D$189<=20,Lookups!$M20,Lookups!$O20))))))]]></f>
        <v>0.4</v>
      </c>
      <c r="D206" s="36">
        <f><![CDATA[IF(D$189<=3,Lookups!$D20,IF(D$189<=4,Lookups!$F20,IF(D$189<=5,Lookups!$H20,IF(D$189<=10,$J20,IF(D$189<=15,Lookups!$L20,IF(D$189<=20,Lookups!$N20,Lookups!$P20))))))]]></f>
        <v>0.01</v>
      </c>
      <c r="E206" s="20">
        <f><![CDATA[IF($F$189<=3,Lookups!$C20,IF(F$189<=4,Lookups!$E20,IF(F$189<=5,Lookups!$G20,IF(F$189<=10,$I20,IF(F$189<=15,Lookups!$K20,IF(F$189<=20,Lookups!$M20,Lookups!$O20))))))]]></f>
        <v>0.4</v>
      </c>
      <c r="F206" s="36">
        <f><![CDATA[IF(F$189<=3,Lookups!$D20,IF(F$189<=4,Lookups!$F20,IF(F$189<=5,Lookups!$H20,IF(F$189<=10,$J20,IF(F$189<=15,Lookups!$L20,IF(F$189<=20,Lookups!$N20,Lookups!$P20))))))]]></f>
        <v>0.01</v>
      </c>
      <c r="G206" s="20">
        <f><![CDATA[IF($H$189<=3,Lookups!$C20,IF(H$189<=4,Lookups!$E20,IF(H$189<=5,Lookups!$G20,IF(H$189<=10,$I20,IF(H$189<=15,Lookups!$K20,IF(H$189<=20,Lookups!$M20,Lookups!$O20))))))]]></f>
        <v>0.4</v>
      </c>
      <c r="H206" s="36">
        <f><![CDATA[IF(H$189<=3,Lookups!$D20,IF(H$189<=4,Lookups!$F20,IF(H$189<=5,Lookups!$H20,IF(H$189<=10,$J20,IF(H$189<=15,Lookups!$L20,IF(H$189<=20,Lookups!$N20,Lookups!$P20))))))]]></f>
        <v>0.01</v>
      </c>
      <c r="I206" s="20">
        <f><![CDATA[IF($J$189<=3,Lookups!$C20,IF(J$189<=4,Lookups!$E20,IF(J$189<=5,Lookups!$G20,IF(J$189<=10,$I20,IF(J$189<=15,Lookups!$K20,IF(J$189<=20,Lookups!$M20,Lookups!$O20))))))]]></f>
        <v>0.4</v>
      </c>
      <c r="J206" s="36">
        <f><![CDATA[IF(J$189<=3,Lookups!$D20,IF(J$189<=4,Lookups!$F20,IF(J$189<=5,Lookups!$H20,IF(J$189<=10,$J20,IF(J$189<=15,Lookups!$L20,IF(J$189<=20,Lookups!$N20,Lookups!$P20))))))]]></f>
        <v>0.01</v>
      </c>
      <c r="K206" s="20">
        <f><![CDATA[IF($L$189<=3,Lookups!$C20,IF(L$189<=4,Lookups!$E20,IF(L$189<=5,Lookups!$G20,IF(L$189<=10,$I20,IF(L$189<=15,Lookups!$K20,IF(L$189<=20,Lookups!$M20,Lookups!$O20))))))]]></f>
        <v>0.4</v>
      </c>
      <c r="L206" s="36">
        <f><![CDATA[IF(L$189<=3,Lookups!$D20,IF(L$189<=4,Lookups!$F20,IF(L$189<=5,Lookups!$H20,IF(L$189<=10,$J20,IF(L$189<=15,Lookups!$L20,IF(L$189<=20,Lookups!$N20,Lookups!$P20))))))]]></f>
        <v>0.01</v>
      </c>
      <c r="M206" s="20">
        <f><![CDATA[IF($N$189<=3,Lookups!$C20,IF(N$189<=4,Lookups!$E20,IF(N$189<=5,Lookups!$G20,IF(N$189<=10,$I20,IF(N$189<=15,Lookups!$K20,IF(N$189<=20,Lookups!$M20,Lookups!$O20))))))]]></f>
        <v>0.4</v>
      </c>
      <c r="N206" s="36">
        <f><![CDATA[IF(N$189<=3,Lookups!$D20,IF(N$189<=4,Lookups!$F20,IF(N$189<=5,Lookups!$H20,IF(N$189<=10,$J20,IF(N$189<=15,Lookups!$L20,IF(N$189<=20,Lookups!$N20,Lookups!$P20))))))]]></f>
        <v>0.01</v>
      </c>
      <c r="O206" s="20">
        <f><![CDATA[IF($P$189<=3,Lookups!$C20,IF(P$189<=4,Lookups!$E20,IF(P$189<=5,Lookups!$G20,IF(P$189<=10,$I20,IF(P$189<=15,Lookups!$K20,IF(P$189<=20,Lookups!$M20,Lookups!$O20))))))]]></f>
        <v>0.4</v>
      </c>
      <c r="P206" s="36">
        <f><![CDATA[IF(P$189<=3,Lookups!$D20,IF(P$189<=4,Lookups!$F20,IF(P$189<=5,Lookups!$H20,IF(P$189<=10,$J20,IF(P$189<=15,Lookups!$L20,IF(P$189<=20,Lookups!$N20,Lookups!$P20))))))]]></f>
        <v>0.01</v>
      </c>
    </row>
    <row r="207" spans="2:18" x14ac:dyDescent="0.25">
      <c r="B207" s="18">
        <v>1500000</v>
      </c>
      <c r="C207" s="20">
        <f><![CDATA[IF($D$189<=3,Lookups!$C21,IF(D$189<=4,Lookups!$E21,IF(D$189<=5,Lookups!$G21,IF(D$189<=10,$I21,IF(D$189<=15,Lookups!$K21,IF(D$189<=20,Lookups!$M21,Lookups!$O21))))))]]></f>
        <v>0.4</v>
      </c>
      <c r="D207" s="36">
        <f><![CDATA[IF(D$189<=3,Lookups!$D21,IF(D$189<=4,Lookups!$F21,IF(D$189<=5,Lookups!$H21,IF(D$189<=10,$J21,IF(D$189<=15,Lookups!$L21,IF(D$189<=20,Lookups!$N21,Lookups!$P21))))))]]></f>
        <v>0.01</v>
      </c>
      <c r="E207" s="20">
        <f><![CDATA[IF($F$189<=3,Lookups!$C21,IF(F$189<=4,Lookups!$E21,IF(F$189<=5,Lookups!$G21,IF(F$189<=10,$I21,IF(F$189<=15,Lookups!$K21,IF(F$189<=20,Lookups!$M21,Lookups!$O21))))))]]></f>
        <v>0.4</v>
      </c>
      <c r="F207" s="36">
        <f><![CDATA[IF(F$189<=3,Lookups!$D21,IF(F$189<=4,Lookups!$F21,IF(F$189<=5,Lookups!$H21,IF(F$189<=10,$J21,IF(F$189<=15,Lookups!$L21,IF(F$189<=20,Lookups!$N21,Lookups!$P21))))))]]></f>
        <v>0.01</v>
      </c>
      <c r="G207" s="20">
        <f><![CDATA[IF($H$189<=3,Lookups!$C21,IF(H$189<=4,Lookups!$E21,IF(H$189<=5,Lookups!$G21,IF(H$189<=10,$I21,IF(H$189<=15,Lookups!$K21,IF(H$189<=20,Lookups!$M21,Lookups!$O21))))))]]></f>
        <v>0.4</v>
      </c>
      <c r="H207" s="36">
        <f><![CDATA[IF(H$189<=3,Lookups!$D21,IF(H$189<=4,Lookups!$F21,IF(H$189<=5,Lookups!$H21,IF(H$189<=10,$J21,IF(H$189<=15,Lookups!$L21,IF(H$189<=20,Lookups!$N21,Lookups!$P21))))))]]></f>
        <v>0.01</v>
      </c>
      <c r="I207" s="20">
        <f><![CDATA[IF($J$189<=3,Lookups!$C21,IF(J$189<=4,Lookups!$E21,IF(J$189<=5,Lookups!$G21,IF(J$189<=10,$I21,IF(J$189<=15,Lookups!$K21,IF(J$189<=20,Lookups!$M21,Lookups!$O21))))))]]></f>
        <v>0.4</v>
      </c>
      <c r="J207" s="36">
        <f><![CDATA[IF(J$189<=3,Lookups!$D21,IF(J$189<=4,Lookups!$F21,IF(J$189<=5,Lookups!$H21,IF(J$189<=10,$J21,IF(J$189<=15,Lookups!$L21,IF(J$189<=20,Lookups!$N21,Lookups!$P21))))))]]></f>
        <v>0.01</v>
      </c>
      <c r="K207" s="20">
        <f><![CDATA[IF($L$189<=3,Lookups!$C21,IF(L$189<=4,Lookups!$E21,IF(L$189<=5,Lookups!$G21,IF(L$189<=10,$I21,IF(L$189<=15,Lookups!$K21,IF(L$189<=20,Lookups!$M21,Lookups!$O21))))))]]></f>
        <v>0.4</v>
      </c>
      <c r="L207" s="36">
        <f><![CDATA[IF(L$189<=3,Lookups!$D21,IF(L$189<=4,Lookups!$F21,IF(L$189<=5,Lookups!$H21,IF(L$189<=10,$J21,IF(L$189<=15,Lookups!$L21,IF(L$189<=20,Lookups!$N21,Lookups!$P21))))))]]></f>
        <v>0.01</v>
      </c>
      <c r="M207" s="20">
        <f><![CDATA[IF($N$189<=3,Lookups!$C21,IF(N$189<=4,Lookups!$E21,IF(N$189<=5,Lookups!$G21,IF(N$189<=10,$I21,IF(N$189<=15,Lookups!$K21,IF(N$189<=20,Lookups!$M21,Lookups!$O21))))))]]></f>
        <v>0.4</v>
      </c>
      <c r="N207" s="36">
        <f><![CDATA[IF(N$189<=3,Lookups!$D21,IF(N$189<=4,Lookups!$F21,IF(N$189<=5,Lookups!$H21,IF(N$189<=10,$J21,IF(N$189<=15,Lookups!$L21,IF(N$189<=20,Lookups!$N21,Lookups!$P21))))))]]></f>
        <v>0.01</v>
      </c>
      <c r="O207" s="20">
        <f><![CDATA[IF($P$189<=3,Lookups!$C21,IF(P$189<=4,Lookups!$E21,IF(P$189<=5,Lookups!$G21,IF(P$189<=10,$I21,IF(P$189<=15,Lookups!$K21,IF(P$189<=20,Lookups!$M21,Lookups!$O21))))))]]></f>
        <v>0.4</v>
      </c>
      <c r="P207" s="36">
        <f><![CDATA[IF(P$189<=3,Lookups!$D21,IF(P$189<=4,Lookups!$F21,IF(P$189<=5,Lookups!$H21,IF(P$189<=10,$J21,IF(P$189<=15,Lookups!$L21,IF(P$189<=20,Lookups!$N21,Lookups!$P21))))))]]></f>
        <v>0.01</v>
      </c>
    </row>
    <row r="208" spans="2:18" x14ac:dyDescent="0.25">
      <c r="B208" s="18">
        <v>1600000</v>
      </c>
      <c r="C208" s="20">
        <f><![CDATA[IF($D$189<=3,Lookups!$C22,IF(D$189<=4,Lookups!$E22,IF(D$189<=5,Lookups!$G22,IF(D$189<=10,$I22,IF(D$189<=15,Lookups!$K22,IF(D$189<=20,Lookups!$M22,Lookups!$O22))))))]]></f>
        <v>0.4</v>
      </c>
      <c r="D208" s="36">
        <f><![CDATA[IF(D$189<=3,Lookups!$D22,IF(D$189<=4,Lookups!$F22,IF(D$189<=5,Lookups!$H22,IF(D$189<=10,$J22,IF(D$189<=15,Lookups!$L22,IF(D$189<=20,Lookups!$N22,Lookups!$P22))))))]]></f>
        <v>0.01</v>
      </c>
      <c r="E208" s="20">
        <f><![CDATA[IF($F$189<=3,Lookups!$C22,IF(F$189<=4,Lookups!$E22,IF(F$189<=5,Lookups!$G22,IF(F$189<=10,$I22,IF(F$189<=15,Lookups!$K22,IF(F$189<=20,Lookups!$M22,Lookups!$O22))))))]]></f>
        <v>0.4</v>
      </c>
      <c r="F208" s="36">
        <f><![CDATA[IF(F$189<=3,Lookups!$D22,IF(F$189<=4,Lookups!$F22,IF(F$189<=5,Lookups!$H22,IF(F$189<=10,$J22,IF(F$189<=15,Lookups!$L22,IF(F$189<=20,Lookups!$N22,Lookups!$P22))))))]]></f>
        <v>0.01</v>
      </c>
      <c r="G208" s="20">
        <f><![CDATA[IF($H$189<=3,Lookups!$C22,IF(H$189<=4,Lookups!$E22,IF(H$189<=5,Lookups!$G22,IF(H$189<=10,$I22,IF(H$189<=15,Lookups!$K22,IF(H$189<=20,Lookups!$M22,Lookups!$O22))))))]]></f>
        <v>0.4</v>
      </c>
      <c r="H208" s="36">
        <f><![CDATA[IF(H$189<=3,Lookups!$D22,IF(H$189<=4,Lookups!$F22,IF(H$189<=5,Lookups!$H22,IF(H$189<=10,$J22,IF(H$189<=15,Lookups!$L22,IF(H$189<=20,Lookups!$N22,Lookups!$P22))))))]]></f>
        <v>0.01</v>
      </c>
      <c r="I208" s="20">
        <f><![CDATA[IF($J$189<=3,Lookups!$C22,IF(J$189<=4,Lookups!$E22,IF(J$189<=5,Lookups!$G22,IF(J$189<=10,$I22,IF(J$189<=15,Lookups!$K22,IF(J$189<=20,Lookups!$M22,Lookups!$O22))))))]]></f>
        <v>0.4</v>
      </c>
      <c r="J208" s="36">
        <f><![CDATA[IF(J$189<=3,Lookups!$D22,IF(J$189<=4,Lookups!$F22,IF(J$189<=5,Lookups!$H22,IF(J$189<=10,$J22,IF(J$189<=15,Lookups!$L22,IF(J$189<=20,Lookups!$N22,Lookups!$P22))))))]]></f>
        <v>0.01</v>
      </c>
      <c r="K208" s="20">
        <f><![CDATA[IF($L$189<=3,Lookups!$C22,IF(L$189<=4,Lookups!$E22,IF(L$189<=5,Lookups!$G22,IF(L$189<=10,$I22,IF(L$189<=15,Lookups!$K22,IF(L$189<=20,Lookups!$M22,Lookups!$O22))))))]]></f>
        <v>0.4</v>
      </c>
      <c r="L208" s="36">
        <f><![CDATA[IF(L$189<=3,Lookups!$D22,IF(L$189<=4,Lookups!$F22,IF(L$189<=5,Lookups!$H22,IF(L$189<=10,$J22,IF(L$189<=15,Lookups!$L22,IF(L$189<=20,Lookups!$N22,Lookups!$P22))))))]]></f>
        <v>0.01</v>
      </c>
      <c r="M208" s="20">
        <f><![CDATA[IF($N$189<=3,Lookups!$C22,IF(N$189<=4,Lookups!$E22,IF(N$189<=5,Lookups!$G22,IF(N$189<=10,$I22,IF(N$189<=15,Lookups!$K22,IF(N$189<=20,Lookups!$M22,Lookups!$O22))))))]]></f>
        <v>0.4</v>
      </c>
      <c r="N208" s="36">
        <f><![CDATA[IF(N$189<=3,Lookups!$D22,IF(N$189<=4,Lookups!$F22,IF(N$189<=5,Lookups!$H22,IF(N$189<=10,$J22,IF(N$189<=15,Lookups!$L22,IF(N$189<=20,Lookups!$N22,Lookups!$P22))))))]]></f>
        <v>0.01</v>
      </c>
      <c r="O208" s="20">
        <f><![CDATA[IF($P$189<=3,Lookups!$C22,IF(P$189<=4,Lookups!$E22,IF(P$189<=5,Lookups!$G22,IF(P$189<=10,$I22,IF(P$189<=15,Lookups!$K22,IF(P$189<=20,Lookups!$M22,Lookups!$O22))))))]]></f>
        <v>0.4</v>
      </c>
      <c r="P208" s="36">
        <f><![CDATA[IF(P$189<=3,Lookups!$D22,IF(P$189<=4,Lookups!$F22,IF(P$189<=5,Lookups!$H22,IF(P$189<=10,$J22,IF(P$189<=15,Lookups!$L22,IF(P$189<=20,Lookups!$N22,Lookups!$P22))))))]]></f>
        <v>0.01</v>
      </c>
    </row>
    <row r="209" spans="2:16" x14ac:dyDescent="0.25">
      <c r="B209" s="18">
        <v>1700000</v>
      </c>
      <c r="C209" s="20">
        <f><![CDATA[IF($D$189<=3,Lookups!$C23,IF(D$189<=4,Lookups!$E23,IF(D$189<=5,Lookups!$G23,IF(D$189<=10,$I23,IF(D$189<=15,Lookups!$K23,IF(D$189<=20,Lookups!$M23,Lookups!$O23))))))]]></f>
        <v>0.4</v>
      </c>
      <c r="D209" s="36">
        <f><![CDATA[IF(D$189<=3,Lookups!$D23,IF(D$189<=4,Lookups!$F23,IF(D$189<=5,Lookups!$H23,IF(D$189<=10,$J23,IF(D$189<=15,Lookups!$L23,IF(D$189<=20,Lookups!$N23,Lookups!$P23))))))]]></f>
        <v>0.01</v>
      </c>
      <c r="E209" s="20">
        <f><![CDATA[IF($F$189<=3,Lookups!$C23,IF(F$189<=4,Lookups!$E23,IF(F$189<=5,Lookups!$G23,IF(F$189<=10,$I23,IF(F$189<=15,Lookups!$K23,IF(F$189<=20,Lookups!$M23,Lookups!$O23))))))]]></f>
        <v>0.4</v>
      </c>
      <c r="F209" s="36">
        <f><![CDATA[IF(F$189<=3,Lookups!$D23,IF(F$189<=4,Lookups!$F23,IF(F$189<=5,Lookups!$H23,IF(F$189<=10,$J23,IF(F$189<=15,Lookups!$L23,IF(F$189<=20,Lookups!$N23,Lookups!$P23))))))]]></f>
        <v>0.01</v>
      </c>
      <c r="G209" s="20">
        <f><![CDATA[IF($H$189<=3,Lookups!$C23,IF(H$189<=4,Lookups!$E23,IF(H$189<=5,Lookups!$G23,IF(H$189<=10,$I23,IF(H$189<=15,Lookups!$K23,IF(H$189<=20,Lookups!$M23,Lookups!$O23))))))]]></f>
        <v>0.4</v>
      </c>
      <c r="H209" s="36">
        <f><![CDATA[IF(H$189<=3,Lookups!$D23,IF(H$189<=4,Lookups!$F23,IF(H$189<=5,Lookups!$H23,IF(H$189<=10,$J23,IF(H$189<=15,Lookups!$L23,IF(H$189<=20,Lookups!$N23,Lookups!$P23))))))]]></f>
        <v>0.01</v>
      </c>
      <c r="I209" s="20">
        <f><![CDATA[IF($J$189<=3,Lookups!$C23,IF(J$189<=4,Lookups!$E23,IF(J$189<=5,Lookups!$G23,IF(J$189<=10,$I23,IF(J$189<=15,Lookups!$K23,IF(J$189<=20,Lookups!$M23,Lookups!$O23))))))]]></f>
        <v>0.4</v>
      </c>
      <c r="J209" s="36">
        <f><![CDATA[IF(J$189<=3,Lookups!$D23,IF(J$189<=4,Lookups!$F23,IF(J$189<=5,Lookups!$H23,IF(J$189<=10,$J23,IF(J$189<=15,Lookups!$L23,IF(J$189<=20,Lookups!$N23,Lookups!$P23))))))]]></f>
        <v>0.01</v>
      </c>
      <c r="K209" s="20">
        <f><![CDATA[IF($L$189<=3,Lookups!$C23,IF(L$189<=4,Lookups!$E23,IF(L$189<=5,Lookups!$G23,IF(L$189<=10,$I23,IF(L$189<=15,Lookups!$K23,IF(L$189<=20,Lookups!$M23,Lookups!$O23))))))]]></f>
        <v>0.4</v>
      </c>
      <c r="L209" s="36">
        <f><![CDATA[IF(L$189<=3,Lookups!$D23,IF(L$189<=4,Lookups!$F23,IF(L$189<=5,Lookups!$H23,IF(L$189<=10,$J23,IF(L$189<=15,Lookups!$L23,IF(L$189<=20,Lookups!$N23,Lookups!$P23))))))]]></f>
        <v>0.01</v>
      </c>
      <c r="M209" s="20">
        <f><![CDATA[IF($N$189<=3,Lookups!$C23,IF(N$189<=4,Lookups!$E23,IF(N$189<=5,Lookups!$G23,IF(N$189<=10,$I23,IF(N$189<=15,Lookups!$K23,IF(N$189<=20,Lookups!$M23,Lookups!$O23))))))]]></f>
        <v>0.4</v>
      </c>
      <c r="N209" s="36">
        <f><![CDATA[IF(N$189<=3,Lookups!$D23,IF(N$189<=4,Lookups!$F23,IF(N$189<=5,Lookups!$H23,IF(N$189<=10,$J23,IF(N$189<=15,Lookups!$L23,IF(N$189<=20,Lookups!$N23,Lookups!$P23))))))]]></f>
        <v>0.01</v>
      </c>
      <c r="O209" s="20">
        <f><![CDATA[IF($P$189<=3,Lookups!$C23,IF(P$189<=4,Lookups!$E23,IF(P$189<=5,Lookups!$G23,IF(P$189<=10,$I23,IF(P$189<=15,Lookups!$K23,IF(P$189<=20,Lookups!$M23,Lookups!$O23))))))]]></f>
        <v>0.4</v>
      </c>
      <c r="P209" s="36">
        <f><![CDATA[IF(P$189<=3,Lookups!$D23,IF(P$189<=4,Lookups!$F23,IF(P$189<=5,Lookups!$H23,IF(P$189<=10,$J23,IF(P$189<=15,Lookups!$L23,IF(P$189<=20,Lookups!$N23,Lookups!$P23))))))]]></f>
        <v>0.01</v>
      </c>
    </row>
    <row r="210" spans="2:16" x14ac:dyDescent="0.25">
      <c r="B210" s="18">
        <v>1800000</v>
      </c>
      <c r="C210" s="20">
        <f><![CDATA[IF($D$189<=3,Lookups!$C24,IF(D$189<=4,Lookups!$E24,IF(D$189<=5,Lookups!$G24,IF(D$189<=10,$I24,IF(D$189<=15,Lookups!$K24,IF(D$189<=20,Lookups!$M24,Lookups!$O24))))))]]></f>
        <v>0.4</v>
      </c>
      <c r="D210" s="36">
        <f><![CDATA[IF(D$189<=3,Lookups!$D24,IF(D$189<=4,Lookups!$F24,IF(D$189<=5,Lookups!$H24,IF(D$189<=10,$J24,IF(D$189<=15,Lookups!$L24,IF(D$189<=20,Lookups!$N24,Lookups!$P24))))))]]></f>
        <v>0.01</v>
      </c>
      <c r="E210" s="20">
        <f><![CDATA[IF($F$189<=3,Lookups!$C24,IF(F$189<=4,Lookups!$E24,IF(F$189<=5,Lookups!$G24,IF(F$189<=10,$I24,IF(F$189<=15,Lookups!$K24,IF(F$189<=20,Lookups!$M24,Lookups!$O24))))))]]></f>
        <v>0.4</v>
      </c>
      <c r="F210" s="36">
        <f><![CDATA[IF(F$189<=3,Lookups!$D24,IF(F$189<=4,Lookups!$F24,IF(F$189<=5,Lookups!$H24,IF(F$189<=10,$J24,IF(F$189<=15,Lookups!$L24,IF(F$189<=20,Lookups!$N24,Lookups!$P24))))))]]></f>
        <v>0.01</v>
      </c>
      <c r="G210" s="20">
        <f><![CDATA[IF($H$189<=3,Lookups!$C24,IF(H$189<=4,Lookups!$E24,IF(H$189<=5,Lookups!$G24,IF(H$189<=10,$I24,IF(H$189<=15,Lookups!$K24,IF(H$189<=20,Lookups!$M24,Lookups!$O24))))))]]></f>
        <v>0.4</v>
      </c>
      <c r="H210" s="36">
        <f><![CDATA[IF(H$189<=3,Lookups!$D24,IF(H$189<=4,Lookups!$F24,IF(H$189<=5,Lookups!$H24,IF(H$189<=10,$J24,IF(H$189<=15,Lookups!$L24,IF(H$189<=20,Lookups!$N24,Lookups!$P24))))))]]></f>
        <v>0.01</v>
      </c>
      <c r="I210" s="20">
        <f><![CDATA[IF($J$189<=3,Lookups!$C24,IF(J$189<=4,Lookups!$E24,IF(J$189<=5,Lookups!$G24,IF(J$189<=10,$I24,IF(J$189<=15,Lookups!$K24,IF(J$189<=20,Lookups!$M24,Lookups!$O24))))))]]></f>
        <v>0.4</v>
      </c>
      <c r="J210" s="36">
        <f><![CDATA[IF(J$189<=3,Lookups!$D24,IF(J$189<=4,Lookups!$F24,IF(J$189<=5,Lookups!$H24,IF(J$189<=10,$J24,IF(J$189<=15,Lookups!$L24,IF(J$189<=20,Lookups!$N24,Lookups!$P24))))))]]></f>
        <v>0.01</v>
      </c>
      <c r="K210" s="20">
        <f><![CDATA[IF($L$189<=3,Lookups!$C24,IF(L$189<=4,Lookups!$E24,IF(L$189<=5,Lookups!$G24,IF(L$189<=10,$I24,IF(L$189<=15,Lookups!$K24,IF(L$189<=20,Lookups!$M24,Lookups!$O24))))))]]></f>
        <v>0.4</v>
      </c>
      <c r="L210" s="36">
        <f><![CDATA[IF(L$189<=3,Lookups!$D24,IF(L$189<=4,Lookups!$F24,IF(L$189<=5,Lookups!$H24,IF(L$189<=10,$J24,IF(L$189<=15,Lookups!$L24,IF(L$189<=20,Lookups!$N24,Lookups!$P24))))))]]></f>
        <v>0.01</v>
      </c>
      <c r="M210" s="20">
        <f><![CDATA[IF($N$189<=3,Lookups!$C24,IF(N$189<=4,Lookups!$E24,IF(N$189<=5,Lookups!$G24,IF(N$189<=10,$I24,IF(N$189<=15,Lookups!$K24,IF(N$189<=20,Lookups!$M24,Lookups!$O24))))))]]></f>
        <v>0.4</v>
      </c>
      <c r="N210" s="36">
        <f><![CDATA[IF(N$189<=3,Lookups!$D24,IF(N$189<=4,Lookups!$F24,IF(N$189<=5,Lookups!$H24,IF(N$189<=10,$J24,IF(N$189<=15,Lookups!$L24,IF(N$189<=20,Lookups!$N24,Lookups!$P24))))))]]></f>
        <v>0.01</v>
      </c>
      <c r="O210" s="20">
        <f><![CDATA[IF($P$189<=3,Lookups!$C24,IF(P$189<=4,Lookups!$E24,IF(P$189<=5,Lookups!$G24,IF(P$189<=10,$I24,IF(P$189<=15,Lookups!$K24,IF(P$189<=20,Lookups!$M24,Lookups!$O24))))))]]></f>
        <v>0.4</v>
      </c>
      <c r="P210" s="36">
        <f><![CDATA[IF(P$189<=3,Lookups!$D24,IF(P$189<=4,Lookups!$F24,IF(P$189<=5,Lookups!$H24,IF(P$189<=10,$J24,IF(P$189<=15,Lookups!$L24,IF(P$189<=20,Lookups!$N24,Lookups!$P24))))))]]></f>
        <v>0.01</v>
      </c>
    </row>
    <row r="211" spans="2:16" x14ac:dyDescent="0.25">
      <c r="B211" s="18">
        <v>1900000</v>
      </c>
      <c r="C211" s="20">
        <f><![CDATA[IF($D$189<=3,Lookups!$C25,IF(D$189<=4,Lookups!$E25,IF(D$189<=5,Lookups!$G25,IF(D$189<=10,$I25,IF(D$189<=15,Lookups!$K25,IF(D$189<=20,Lookups!$M25,Lookups!$O25))))))]]></f>
        <v>0.4</v>
      </c>
      <c r="D211" s="36">
        <f><![CDATA[IF(D$189<=3,Lookups!$D25,IF(D$189<=4,Lookups!$F25,IF(D$189<=5,Lookups!$H25,IF(D$189<=10,$J25,IF(D$189<=15,Lookups!$L25,IF(D$189<=20,Lookups!$N25,Lookups!$P25))))))]]></f>
        <v>0.01</v>
      </c>
      <c r="E211" s="20">
        <f><![CDATA[IF($F$189<=3,Lookups!$C25,IF(F$189<=4,Lookups!$E25,IF(F$189<=5,Lookups!$G25,IF(F$189<=10,$I25,IF(F$189<=15,Lookups!$K25,IF(F$189<=20,Lookups!$M25,Lookups!$O25))))))]]></f>
        <v>0.4</v>
      </c>
      <c r="F211" s="36">
        <f><![CDATA[IF(F$189<=3,Lookups!$D25,IF(F$189<=4,Lookups!$F25,IF(F$189<=5,Lookups!$H25,IF(F$189<=10,$J25,IF(F$189<=15,Lookups!$L25,IF(F$189<=20,Lookups!$N25,Lookups!$P25))))))]]></f>
        <v>0.01</v>
      </c>
      <c r="G211" s="20">
        <f><![CDATA[IF($H$189<=3,Lookups!$C25,IF(H$189<=4,Lookups!$E25,IF(H$189<=5,Lookups!$G25,IF(H$189<=10,$I25,IF(H$189<=15,Lookups!$K25,IF(H$189<=20,Lookups!$M25,Lookups!$O25))))))]]></f>
        <v>0.4</v>
      </c>
      <c r="H211" s="36">
        <f><![CDATA[IF(H$189<=3,Lookups!$D25,IF(H$189<=4,Lookups!$F25,IF(H$189<=5,Lookups!$H25,IF(H$189<=10,$J25,IF(H$189<=15,Lookups!$L25,IF(H$189<=20,Lookups!$N25,Lookups!$P25))))))]]></f>
        <v>0.01</v>
      </c>
      <c r="I211" s="20">
        <f><![CDATA[IF($J$189<=3,Lookups!$C25,IF(J$189<=4,Lookups!$E25,IF(J$189<=5,Lookups!$G25,IF(J$189<=10,$I25,IF(J$189<=15,Lookups!$K25,IF(J$189<=20,Lookups!$M25,Lookups!$O25))))))]]></f>
        <v>0.4</v>
      </c>
      <c r="J211" s="36">
        <f><![CDATA[IF(J$189<=3,Lookups!$D25,IF(J$189<=4,Lookups!$F25,IF(J$189<=5,Lookups!$H25,IF(J$189<=10,$J25,IF(J$189<=15,Lookups!$L25,IF(J$189<=20,Lookups!$N25,Lookups!$P25))))))]]></f>
        <v>0.01</v>
      </c>
      <c r="K211" s="20">
        <f><![CDATA[IF($L$189<=3,Lookups!$C25,IF(L$189<=4,Lookups!$E25,IF(L$189<=5,Lookups!$G25,IF(L$189<=10,$I25,IF(L$189<=15,Lookups!$K25,IF(L$189<=20,Lookups!$M25,Lookups!$O25))))))]]></f>
        <v>0.4</v>
      </c>
      <c r="L211" s="36">
        <f><![CDATA[IF(L$189<=3,Lookups!$D25,IF(L$189<=4,Lookups!$F25,IF(L$189<=5,Lookups!$H25,IF(L$189<=10,$J25,IF(L$189<=15,Lookups!$L25,IF(L$189<=20,Lookups!$N25,Lookups!$P25))))))]]></f>
        <v>0.01</v>
      </c>
      <c r="M211" s="20">
        <f><![CDATA[IF($N$189<=3,Lookups!$C25,IF(N$189<=4,Lookups!$E25,IF(N$189<=5,Lookups!$G25,IF(N$189<=10,$I25,IF(N$189<=15,Lookups!$K25,IF(N$189<=20,Lookups!$M25,Lookups!$O25))))))]]></f>
        <v>0.4</v>
      </c>
      <c r="N211" s="36">
        <f><![CDATA[IF(N$189<=3,Lookups!$D25,IF(N$189<=4,Lookups!$F25,IF(N$189<=5,Lookups!$H25,IF(N$189<=10,$J25,IF(N$189<=15,Lookups!$L25,IF(N$189<=20,Lookups!$N25,Lookups!$P25))))))]]></f>
        <v>0.01</v>
      </c>
      <c r="O211" s="20">
        <f><![CDATA[IF($P$189<=3,Lookups!$C25,IF(P$189<=4,Lookups!$E25,IF(P$189<=5,Lookups!$G25,IF(P$189<=10,$I25,IF(P$189<=15,Lookups!$K25,IF(P$189<=20,Lookups!$M25,Lookups!$O25))))))]]></f>
        <v>0.4</v>
      </c>
      <c r="P211" s="36">
        <f><![CDATA[IF(P$189<=3,Lookups!$D25,IF(P$189<=4,Lookups!$F25,IF(P$189<=5,Lookups!$H25,IF(P$189<=10,$J25,IF(P$189<=15,Lookups!$L25,IF(P$189<=20,Lookups!$N25,Lookups!$P25))))))]]></f>
        <v>0.01</v>
      </c>
    </row>
    <row r="212" spans="2:16" x14ac:dyDescent="0.25">
      <c r="C212" t="s" s="0">
        <v>22</v>
      </c>
      <c r="D212" t="s" s="0">
        <v>22</v>
      </c>
      <c r="E212" t="s" s="0">
        <v>22</v>
      </c>
      <c r="F212" t="s" s="0">
        <v>22</v>
      </c>
      <c r="G212" t="s" s="0">
        <v>22</v>
      </c>
      <c r="H212" t="s" s="0">
        <v>22</v>
      </c>
      <c r="I212" t="s" s="0">
        <v>22</v>
      </c>
      <c r="J212" t="s" s="0">
        <v>22</v>
      </c>
      <c r="K212" t="s" s="0">
        <v>22</v>
      </c>
      <c r="L212" t="s" s="0">
        <v>22</v>
      </c>
      <c r="M212" t="s" s="0">
        <v>22</v>
      </c>
      <c r="N212" t="s" s="0">
        <v>22</v>
      </c>
      <c r="O212" t="s" s="0">
        <v>22</v>
      </c>
      <c r="P212" t="s" s="0">
        <v>22</v>
      </c>
    </row>
  </sheetData>
  <mergeCells count="67">
    <mergeCell ref="C113:D113"/>
    <mergeCell ref="E113:F113"/>
    <mergeCell ref="G113:H113"/>
    <mergeCell ref="I113:J113"/>
    <mergeCell ref="K113:L113"/>
    <mergeCell ref="C139:D139"/>
    <mergeCell ref="E139:F139"/>
    <mergeCell ref="G139:H139"/>
    <mergeCell ref="I139:J139"/>
    <mergeCell ref="K139:L139"/>
    <mergeCell ref="C61:D61"/>
    <mergeCell ref="E61:F61"/>
    <mergeCell ref="G61:H61"/>
    <mergeCell ref="I61:J61"/>
    <mergeCell ref="K61:L61"/>
    <mergeCell ref="C87:D87"/>
    <mergeCell ref="E87:F87"/>
    <mergeCell ref="G87:H87"/>
    <mergeCell ref="I87:J87"/>
    <mergeCell ref="K87:L87"/>
    <mergeCell ref="C35:D35"/>
    <mergeCell ref="E35:F35"/>
    <mergeCell ref="G35:H35"/>
    <mergeCell ref="I35:J35"/>
    <mergeCell ref="K35:L35"/>
    <mergeCell ref="O4:P4"/>
    <mergeCell ref="I4:J4"/>
    <mergeCell ref="K4:L4"/>
    <mergeCell ref="M4:N4"/>
    <mergeCell ref="V32:X32"/>
    <mergeCell ref="Z32:AB32"/>
    <mergeCell ref="Z42:AB42"/>
    <mergeCell ref="V52:X52"/>
    <mergeCell ref="Z52:AB52"/>
    <mergeCell ref="V42:X42"/>
    <mergeCell ref="Z62:AB62"/>
    <mergeCell ref="V72:X72"/>
    <mergeCell ref="Z72:AB72"/>
    <mergeCell ref="M61:N61"/>
    <mergeCell ref="O61:P61"/>
    <mergeCell ref="M35:N35"/>
    <mergeCell ref="O35:P35"/>
    <mergeCell ref="M165:N165"/>
    <mergeCell ref="O165:P165"/>
    <mergeCell ref="V82:X82"/>
    <mergeCell ref="M113:N113"/>
    <mergeCell ref="O113:P113"/>
    <mergeCell ref="M139:N139"/>
    <mergeCell ref="O139:P139"/>
    <mergeCell ref="V62:X62"/>
    <mergeCell ref="Z82:AB82"/>
    <mergeCell ref="V92:X92"/>
    <mergeCell ref="Z92:AB92"/>
    <mergeCell ref="M87:N87"/>
    <mergeCell ref="O87:P87"/>
    <mergeCell ref="C165:D165"/>
    <mergeCell ref="E165:F165"/>
    <mergeCell ref="G165:H165"/>
    <mergeCell ref="I165:J165"/>
    <mergeCell ref="K165:L165"/>
    <mergeCell ref="M191:N191"/>
    <mergeCell ref="O191:P191"/>
    <mergeCell ref="C191:D191"/>
    <mergeCell ref="E191:F191"/>
    <mergeCell ref="G191:H191"/>
    <mergeCell ref="I191:J191"/>
    <mergeCell ref="K191:L19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Inputs</vt:lpstr>
      <vt:lpstr>Departing</vt:lpstr>
      <vt:lpstr>Receiving</vt:lpstr>
      <vt:lpstr>Lookups</vt:lpstr>
      <vt:lpstr>of_Receving_FAs</vt:lpstr>
      <vt:lpstr>Departing!Print_Area</vt:lpstr>
      <vt:lpstr>Inputs!Print_Area</vt:lpstr>
      <vt:lpstr>Receiving!Print_Area</vt:lpstr>
    </vt:vector>
  </TitlesOfParts>
  <Company>Royal Bank of Canada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2014-06-17T20:31:43Z</dcterms:created>
  <dc:creator>Nemani, Vikesh (RBC Wealth Mgmt)</dc:creator>
  <cp:keywords>RBC Internal</cp:keywords>
  <cp:lastModifiedBy>Anoop, Sharon</cp:lastModifiedBy>
  <cp:lastPrinted>2025-08-29T16:39:52Z</cp:lastPrinted>
  <dcterms:modified xsi:type="dcterms:W3CDTF">2025-11-11T03:10:35Z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lassification">
    <vt:lpwstr>TT_RBC_Internal</vt:lpwstr>
  </property>
</Properties>
</file>